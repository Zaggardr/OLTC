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guellid\Desktop\"/>
    </mc:Choice>
  </mc:AlternateContent>
  <xr:revisionPtr revIDLastSave="0" documentId="13_ncr:1_{948DBBF5-FE3B-44DC-A0F0-29FB9A75940D}" xr6:coauthVersionLast="47" xr6:coauthVersionMax="47" xr10:uidLastSave="{00000000-0000-0000-0000-000000000000}"/>
  <bookViews>
    <workbookView xWindow="-110" yWindow="-110" windowWidth="19420" windowHeight="10300" firstSheet="1" activeTab="10" xr2:uid="{00000000-000D-0000-FFFF-FFFF00000000}"/>
  </bookViews>
  <sheets>
    <sheet name="2017" sheetId="4" r:id="rId1"/>
    <sheet name="TRs" sheetId="7" r:id="rId2"/>
    <sheet name="2018" sheetId="1" r:id="rId3"/>
    <sheet name="2019" sheetId="2" r:id="rId4"/>
    <sheet name="2020" sheetId="3" r:id="rId5"/>
    <sheet name="2021" sheetId="5" r:id="rId6"/>
    <sheet name="2022" sheetId="8" r:id="rId7"/>
    <sheet name="2023" sheetId="9" r:id="rId8"/>
    <sheet name="2024" sheetId="10" r:id="rId9"/>
    <sheet name="2025" sheetId="11" r:id="rId10"/>
    <sheet name="2026" sheetId="12" r:id="rId1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I3" i="8" l="1"/>
  <c r="I2" i="8"/>
  <c r="I10" i="8" l="1"/>
  <c r="I11" i="8"/>
  <c r="I12" i="8"/>
  <c r="I13" i="8"/>
  <c r="I14" i="8"/>
  <c r="I8" i="8"/>
  <c r="I9" i="8"/>
  <c r="I4" i="8"/>
  <c r="I5" i="8"/>
  <c r="I6" i="8"/>
  <c r="I7" i="8"/>
  <c r="I15" i="8" l="1"/>
  <c r="H8" i="5" l="1"/>
  <c r="H7" i="5"/>
  <c r="H6" i="5" l="1"/>
  <c r="H5" i="5" l="1"/>
  <c r="H2" i="5" l="1"/>
  <c r="H4" i="5"/>
  <c r="H3" i="5"/>
  <c r="H21" i="5" l="1"/>
  <c r="G6" i="3" l="1"/>
  <c r="G5" i="3"/>
  <c r="G4" i="3" l="1"/>
  <c r="F29" i="4" l="1"/>
  <c r="G3" i="3" l="1"/>
  <c r="G18" i="2" l="1"/>
  <c r="G19" i="2"/>
  <c r="G17" i="2"/>
  <c r="G2" i="3" l="1"/>
  <c r="G8" i="3" s="1"/>
  <c r="G20" i="2" l="1"/>
  <c r="G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D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probléme de fausse manœuvre au niveau de la centrale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D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probléme de fausse manœuvre au niveau de la centrale</t>
        </r>
      </text>
    </comment>
  </commentList>
</comments>
</file>

<file path=xl/sharedStrings.xml><?xml version="1.0" encoding="utf-8"?>
<sst xmlns="http://schemas.openxmlformats.org/spreadsheetml/2006/main" count="448" uniqueCount="246">
  <si>
    <t>Date</t>
  </si>
  <si>
    <t>Postes</t>
  </si>
  <si>
    <t>Déclenchements</t>
  </si>
  <si>
    <t xml:space="preserve">heure </t>
  </si>
  <si>
    <t>Impact</t>
  </si>
  <si>
    <t>PJ-2</t>
  </si>
  <si>
    <t>Départ MT soufre N°3</t>
  </si>
  <si>
    <t>19H30 à 20h10</t>
  </si>
  <si>
    <t>Aucun impact</t>
  </si>
  <si>
    <t>départ MT PD53N°2</t>
  </si>
  <si>
    <t>22H30 à 00H00</t>
  </si>
  <si>
    <t>Arrée stockage U53</t>
  </si>
  <si>
    <t>Arrivée MT N°3</t>
  </si>
  <si>
    <t>11H25 à 12H00</t>
  </si>
  <si>
    <t>Arrét U263,U262 et chargement soufre</t>
  </si>
  <si>
    <t>PJ-3</t>
  </si>
  <si>
    <t>Départ MT DSSN°2</t>
  </si>
  <si>
    <t>22H45 à 23H10</t>
  </si>
  <si>
    <t>Arrét sechage downstream</t>
  </si>
  <si>
    <t>PGD</t>
  </si>
  <si>
    <t xml:space="preserve">depart 225KV N°25-146 Jorf lasfar coté ocp </t>
  </si>
  <si>
    <t>Départ MT PEEN°1</t>
  </si>
  <si>
    <t>13H07 à 13H20</t>
  </si>
  <si>
    <t>00H30 à 01h02</t>
  </si>
  <si>
    <t>Arrée chargement et déchargement soufre</t>
  </si>
  <si>
    <t>PJ3 et PJ2</t>
  </si>
  <si>
    <t>Déclenchement de la liaison PDE-PJ2</t>
  </si>
  <si>
    <t>Départ MT soufre N°2</t>
  </si>
  <si>
    <t>PJ-TPP</t>
  </si>
  <si>
    <t>Arrét station terminal et pompage de la pulpe</t>
  </si>
  <si>
    <t>PDE</t>
  </si>
  <si>
    <t xml:space="preserve"> Déclenchemnt PJ10-PJ4 par dif ligne</t>
  </si>
  <si>
    <t>23h50 à 19h10</t>
  </si>
  <si>
    <t>Ilotage PMP</t>
  </si>
  <si>
    <t>PJ11</t>
  </si>
  <si>
    <t>Déclenchement de la liaison PDE-PJ11 par défaut image ther</t>
  </si>
  <si>
    <t>10H05 à 10H10</t>
  </si>
  <si>
    <t>arrét satation pompage eau de mer</t>
  </si>
  <si>
    <t>déclenchement du départ 25D48</t>
  </si>
  <si>
    <t>03h15 à 03h21</t>
  </si>
  <si>
    <t>PJ2</t>
  </si>
  <si>
    <t>Déclenchement départ U263 n°2</t>
  </si>
  <si>
    <t>07h25 à 14h30</t>
  </si>
  <si>
    <t>Déclenchement départ DSS1 secour n°2</t>
  </si>
  <si>
    <t>03h20 à 04h15</t>
  </si>
  <si>
    <t>Arrét unité de schage DOWNSTREAM</t>
  </si>
  <si>
    <t>END</t>
  </si>
  <si>
    <t>11H30 à 13H45</t>
  </si>
  <si>
    <t>03H40 à 03h50</t>
  </si>
  <si>
    <t>15H10 à 15H40</t>
  </si>
  <si>
    <t>23H30 à 00H00</t>
  </si>
  <si>
    <t>Départ MT TPPN°1  &amp; 2</t>
  </si>
  <si>
    <t>Arrét stockage du soufre</t>
  </si>
  <si>
    <t>Déclenchement du départ TR2</t>
  </si>
  <si>
    <t>17H30 à 18H00</t>
  </si>
  <si>
    <t>Arrée des infrasructures JPH usine</t>
  </si>
  <si>
    <t>Arrét des infrastructures JPH usine et port</t>
  </si>
  <si>
    <t>Arrivée MT du TR1</t>
  </si>
  <si>
    <t>10H05 à 10h30</t>
  </si>
  <si>
    <t>TR2</t>
  </si>
  <si>
    <t>départ soufre n° 1</t>
  </si>
  <si>
    <t>11H24 à 12H00</t>
  </si>
  <si>
    <t>disjoncteur 25D49 (ligne LAAWAMRA) phase B,</t>
  </si>
  <si>
    <t xml:space="preserve">07H34 </t>
  </si>
  <si>
    <t>déclenchement de TR1</t>
  </si>
  <si>
    <t>15h37 à 15h49</t>
  </si>
  <si>
    <t>PJ-10</t>
  </si>
  <si>
    <t>déclenchement de TR2</t>
  </si>
  <si>
    <t>09h10 à 09h30</t>
  </si>
  <si>
    <t>Départ REM 3  n° 1</t>
  </si>
  <si>
    <t>PJ15</t>
  </si>
  <si>
    <t>Déclenchement de disj TR1</t>
  </si>
  <si>
    <t>Arrivée (ex pilote) alimantant nouveau tableau</t>
  </si>
  <si>
    <t>départ MAP</t>
  </si>
  <si>
    <t>départ 225kv n° 25-147 (GHANEM)</t>
  </si>
  <si>
    <t>08h00 à 08h15</t>
  </si>
  <si>
    <t>11H00 à 11H25</t>
  </si>
  <si>
    <t>10H05 à 10h10</t>
  </si>
  <si>
    <t>09h19 à 09h40</t>
  </si>
  <si>
    <t>Déclenchement de l'arrivée 10KV du TR1</t>
  </si>
  <si>
    <t>11H02 à 11H20</t>
  </si>
  <si>
    <t>PJTPP</t>
  </si>
  <si>
    <t>Déclenchement du transformateur TR1 par 87T</t>
  </si>
  <si>
    <t>Déclenchement couplage n°2 p)ar défaut de court-circuit suite au probléme des cables 10KV du départ A&amp;C</t>
  </si>
  <si>
    <t>15H00 à 17H00</t>
  </si>
  <si>
    <t>consommation actuelle en MW</t>
  </si>
  <si>
    <t>END en MWH</t>
  </si>
  <si>
    <t>PJ3</t>
  </si>
  <si>
    <t>15H50 à 16H10</t>
  </si>
  <si>
    <t>20h30 à 20h50</t>
  </si>
  <si>
    <t>Durée en munites</t>
  </si>
  <si>
    <t>Déclenchement du départ MT U162</t>
  </si>
  <si>
    <t>Déclenchement du départ TPP n°1</t>
  </si>
  <si>
    <t>03h20 à 03H50</t>
  </si>
  <si>
    <t>15H00 à 18H00</t>
  </si>
  <si>
    <t>Déclenchement des départs du tableau MT n°1</t>
  </si>
  <si>
    <t>14H25 à 14H55</t>
  </si>
  <si>
    <t xml:space="preserve">Déclenchement du départ 10KV MAP par diff cables </t>
  </si>
  <si>
    <t>Causes</t>
  </si>
  <si>
    <t>END en MW</t>
  </si>
  <si>
    <t>Max de courant causé par moteur ventillateur</t>
  </si>
  <si>
    <t>Ligne 225N°25-147GHANEM</t>
  </si>
  <si>
    <t>F21/1 défaut phase A</t>
  </si>
  <si>
    <t>Court-circuit défaut cables10KV</t>
  </si>
  <si>
    <t>Arrét chargement et déchargement du soufre</t>
  </si>
  <si>
    <t>Déclenchement du TR1 par DTR</t>
  </si>
  <si>
    <t>défaut su départ MT PMn°2</t>
  </si>
  <si>
    <t>Arrét installations IJ</t>
  </si>
  <si>
    <t>MAX I suite aux éssais des portiques à vis</t>
  </si>
  <si>
    <t>Déclenchement du TR2 par DTR</t>
  </si>
  <si>
    <t>Probléme est localisé au niveau du départ MT PMR N°1</t>
  </si>
  <si>
    <t>Max de courant causé par défau au niveau des cablesMT</t>
  </si>
  <si>
    <t>U263</t>
  </si>
  <si>
    <t>Max de courant causé par défaut des cables (action ed vendalisme)</t>
  </si>
  <si>
    <t>Arrét unité soufre U263</t>
  </si>
  <si>
    <t>TR2/ ARRV 2</t>
  </si>
  <si>
    <t>par défau température suite déclenchement thermique des pompes d'huile</t>
  </si>
  <si>
    <t>Arrét lignes DAP + ligne E</t>
  </si>
  <si>
    <t xml:space="preserve">Déclenchement départ MT DSS1N </t>
  </si>
  <si>
    <t>MaxI suite au démarrahge du motoventillateur</t>
  </si>
  <si>
    <t>suite à un probléme de manque 127Vcc</t>
  </si>
  <si>
    <t>PE4N°1+ SOUF U263</t>
  </si>
  <si>
    <t>Fausse manœuvre pendant les travux de test d'incendie</t>
  </si>
  <si>
    <t>PJ-7</t>
  </si>
  <si>
    <t>PDE-PJ7</t>
  </si>
  <si>
    <t>par défaut Diffrentielle ligne suite au broiullard</t>
  </si>
  <si>
    <t>Arrét JFCV</t>
  </si>
  <si>
    <t>Départ MT DSSN ET S</t>
  </si>
  <si>
    <t>Max I suite au démmarrage du moto ventillateur</t>
  </si>
  <si>
    <t>Départ MT DSS1</t>
  </si>
  <si>
    <t>MAX I de courant causé par une défaillance transformateur BT au port</t>
  </si>
  <si>
    <t>PJ-5</t>
  </si>
  <si>
    <t>PDE-PJ5</t>
  </si>
  <si>
    <t>par défaut Diffrentielleligne suite à un défaut d'isolement au niveau des selfs</t>
  </si>
  <si>
    <t>Départ MT soufre N°1</t>
  </si>
  <si>
    <t>défaut de court-circuit triphasésuite défaillance des cables</t>
  </si>
  <si>
    <t>défat homopolaire suite défaillace du cable de la phase 3</t>
  </si>
  <si>
    <t>TR1</t>
  </si>
  <si>
    <t>défau phase à la terre suite au probléme au niveau des isolateurs du transformateur BIBERON</t>
  </si>
  <si>
    <t>Arrét JFC3 et MP3&amp;4</t>
  </si>
  <si>
    <t>PE4</t>
  </si>
  <si>
    <t>par défau de court-circuit causé par un probléme au niveau de l'arrivée du poste PE4</t>
  </si>
  <si>
    <t>Arrét chargement des engrais</t>
  </si>
  <si>
    <t>HOMO</t>
  </si>
  <si>
    <t>FUSION 263N°2</t>
  </si>
  <si>
    <t>par défaut de max de courant suite au défaillance des cables</t>
  </si>
  <si>
    <t>Arrét insallation soufre solide</t>
  </si>
  <si>
    <t>FUSION 263N°1</t>
  </si>
  <si>
    <t>Totale END</t>
  </si>
  <si>
    <t>Déclenchement du TR2 par température</t>
  </si>
  <si>
    <t>07H00 à 07h10</t>
  </si>
  <si>
    <t xml:space="preserve">Déclenchement TR1 par baisse pression SF6 </t>
  </si>
  <si>
    <t>19H21 à 19H45</t>
  </si>
  <si>
    <t>PJ0</t>
  </si>
  <si>
    <t>déclenchement départ REM3 et déépart PDE</t>
  </si>
  <si>
    <t>02h00</t>
  </si>
  <si>
    <t>PJ2 et PJ3</t>
  </si>
  <si>
    <t>déclenchement des liaisons 60KV PDE-PJ2 , PJ0-PJ3 et PJ0-PJ2</t>
  </si>
  <si>
    <t>00H25</t>
  </si>
  <si>
    <t>CAUSE</t>
  </si>
  <si>
    <t>déclenchement de l'arrivée MT n°1 du TR1</t>
  </si>
  <si>
    <t>par homopolaire suite défaut cables BT au niveau PJ15</t>
  </si>
  <si>
    <t>Absence 127Vcc suite défaillane chargeur</t>
  </si>
  <si>
    <t>par différentielle ligne suite amorcage extremités cables 60KV de la phase 0 de la liaison PDE-PJ2</t>
  </si>
  <si>
    <t>13H45</t>
  </si>
  <si>
    <t>causes</t>
  </si>
  <si>
    <t>défaut sur cables deu départ MT PM n°1</t>
  </si>
  <si>
    <t>défaillance protection SEPAM T51</t>
  </si>
  <si>
    <t>surcharge suité déclenchement JFC1</t>
  </si>
  <si>
    <t>défaillane protection UFM</t>
  </si>
  <si>
    <t>défaut au niveau du départ MT 107A</t>
  </si>
  <si>
    <t>défillance protection GE T60</t>
  </si>
  <si>
    <t>suite déclenchement des aéroréfrigérant et la poompe d'huile</t>
  </si>
  <si>
    <t xml:space="preserve">Déclenchement TR1 </t>
  </si>
  <si>
    <t>baisse pression SF6</t>
  </si>
  <si>
    <t>Déclenchement du TR2 du poste PJTPP</t>
  </si>
  <si>
    <t>baisse tension 127Vcc suite probléme du chargeur batteries 127Vcc</t>
  </si>
  <si>
    <t>18/09/20221</t>
  </si>
  <si>
    <t>03h16</t>
  </si>
  <si>
    <t>18h15</t>
  </si>
  <si>
    <t>22H05</t>
  </si>
  <si>
    <t>PJ1</t>
  </si>
  <si>
    <t>Déclenchement TR1 du poste PJ3</t>
  </si>
  <si>
    <t>Déclenchement de la liaison PJ1-PJ11 et absence tension au poste PJ1</t>
  </si>
  <si>
    <t>max I suite démarrage M12</t>
  </si>
  <si>
    <t>10H05</t>
  </si>
  <si>
    <t>décelenchemnt du Transformateurs par courant homopolaire</t>
  </si>
  <si>
    <t>18H05</t>
  </si>
  <si>
    <t xml:space="preserve">heure de dééclenchement </t>
  </si>
  <si>
    <t>heure de rétablissament</t>
  </si>
  <si>
    <t>18H30</t>
  </si>
  <si>
    <t>déclenchement du TR2 par défaut homopolaire et TR1 par Arrét aéroréfrigérants</t>
  </si>
  <si>
    <t>11H00</t>
  </si>
  <si>
    <t>11H30</t>
  </si>
  <si>
    <t>mauvais réglages</t>
  </si>
  <si>
    <t xml:space="preserve">déclenchement de la liaison 60KV PDE-PJ2 </t>
  </si>
  <si>
    <t>probléme d'inversion des phases+liaison PDE-PJ0 qui a été consigné</t>
  </si>
  <si>
    <t>11H25 à 12H15</t>
  </si>
  <si>
    <t>déclenchement des transformateuurs TR3 et TR4 suite au probléme127Vcc du poste PJ11</t>
  </si>
  <si>
    <t>manque tension 127Vcc</t>
  </si>
  <si>
    <t xml:space="preserve">déclenchementdu TR1 au poste PJ0 </t>
  </si>
  <si>
    <t>par homopolaire suite coupure cable d'alimentantion du château d'eau</t>
  </si>
  <si>
    <t>11H50 à 12H10</t>
  </si>
  <si>
    <t xml:space="preserve">  déclenchement du poste PJ3</t>
  </si>
  <si>
    <t>amorcage des liaisons 60KV PJ0-PJ3 et PJ2-PJ3</t>
  </si>
  <si>
    <t xml:space="preserve"> PJ3</t>
  </si>
  <si>
    <t xml:space="preserve"> PJ11</t>
  </si>
  <si>
    <t>par homopolaire suite coupure cable d'alimentantion du château d'eau par engin</t>
  </si>
  <si>
    <t>heure déclen</t>
  </si>
  <si>
    <t>heure de rétablissement</t>
  </si>
  <si>
    <t>consommationen MW</t>
  </si>
  <si>
    <t>durée en min</t>
  </si>
  <si>
    <t>11h50</t>
  </si>
  <si>
    <t>12h10</t>
  </si>
  <si>
    <t xml:space="preserve">Dééclenchement TR4 </t>
  </si>
  <si>
    <t>par différentielle transformteur suite erreur de cables du secondaire des TC coté HT</t>
  </si>
  <si>
    <t>Déclenchement du TR1 au poste PJ3</t>
  </si>
  <si>
    <t>par défaut de court-circuit sur cables départ MT PE N°1</t>
  </si>
  <si>
    <t xml:space="preserve">Déclenchement TR2 </t>
  </si>
  <si>
    <t>PAR TERRE SENSIBLE</t>
  </si>
  <si>
    <t>23H50</t>
  </si>
  <si>
    <t>00H</t>
  </si>
  <si>
    <t>court-circuit au niveau du cable 60KV suite à la défaillance d'une boitede jonction</t>
  </si>
  <si>
    <t>PJ15 et PDE</t>
  </si>
  <si>
    <t>Déclenchement départ PJ5 par D60 
Déclenchement de la liaison PDE-PJ5 par différentielle ligne</t>
  </si>
  <si>
    <t>Déclenchement du transformateur TR2 par défaut de cout-circuit</t>
  </si>
  <si>
    <t>amorcage JDB 10KV du tableau MT HAZMAYER</t>
  </si>
  <si>
    <t>PDE-DEM1</t>
  </si>
  <si>
    <t xml:space="preserve">Déclenchement de la liaison 60KV par differetielle ligne </t>
  </si>
  <si>
    <t>amorcage des isolaueurs de la phase 0</t>
  </si>
  <si>
    <t>11H55</t>
  </si>
  <si>
    <t>20H50</t>
  </si>
  <si>
    <t>TR1/PJ3</t>
  </si>
  <si>
    <t xml:space="preserve">Déclenchement du transformateur TR1 par défaut homopolaire </t>
  </si>
  <si>
    <t>court-circuit au niveau du moteur alimenté du poste PEE</t>
  </si>
  <si>
    <t>Déclenchement TR1 par homopolaire</t>
  </si>
  <si>
    <t>probléme circuit courant</t>
  </si>
  <si>
    <t>PJDAP</t>
  </si>
  <si>
    <t>Déclenchement TR2 par protection incendie</t>
  </si>
  <si>
    <t>Déclenchement départ PE4 par homopolaire</t>
  </si>
  <si>
    <t>probléme centrale incendie</t>
  </si>
  <si>
    <t>pobléme localisé au niveau du poste PE4</t>
  </si>
  <si>
    <t>09H00</t>
  </si>
  <si>
    <t>09H30</t>
  </si>
  <si>
    <t>0.4</t>
  </si>
  <si>
    <t>durée en 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</si>
</sst>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i/>
      <sz val="14"/>
      <name val="Times New Roman"/>
      <family val="1"/>
    </font>
    <font>
      <i/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14" fontId="2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7" fillId="4" borderId="1" xfId="0" applyFont="1" applyFill="1" applyBorder="1"/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14" fontId="2" fillId="3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sqref="A1:XFD1048576"/>
    </sheetView>
  </sheetViews>
  <sheetFormatPr baseColWidth="10" defaultRowHeight="14.5" x14ac:dyDescent="0.35"/>
  <cols>
    <col min="1" max="1" width="27.81640625" customWidth="1"/>
    <col min="2" max="2" width="24.54296875" customWidth="1"/>
    <col min="3" max="3" width="37.81640625" customWidth="1"/>
    <col min="4" max="4" width="71.81640625" customWidth="1"/>
    <col min="5" max="5" width="49.453125" customWidth="1"/>
    <col min="6" max="6" width="17.81640625" customWidth="1"/>
  </cols>
  <sheetData>
    <row r="1" spans="1:6" ht="15" thickBot="1" x14ac:dyDescent="0.4"/>
    <row r="2" spans="1:6" ht="18.5" thickBot="1" x14ac:dyDescent="0.45">
      <c r="A2" s="19" t="s">
        <v>0</v>
      </c>
      <c r="B2" s="14" t="s">
        <v>1</v>
      </c>
      <c r="C2" s="15" t="s">
        <v>2</v>
      </c>
      <c r="D2" s="16" t="s">
        <v>98</v>
      </c>
      <c r="E2" s="16" t="s">
        <v>4</v>
      </c>
      <c r="F2" s="32" t="s">
        <v>99</v>
      </c>
    </row>
    <row r="3" spans="1:6" ht="16" thickBot="1" x14ac:dyDescent="0.4">
      <c r="A3" s="1">
        <v>42771</v>
      </c>
      <c r="B3" s="2" t="s">
        <v>15</v>
      </c>
      <c r="C3" s="3" t="s">
        <v>16</v>
      </c>
      <c r="D3" s="33" t="s">
        <v>100</v>
      </c>
      <c r="E3" s="21" t="s">
        <v>18</v>
      </c>
      <c r="F3" s="34">
        <v>7</v>
      </c>
    </row>
    <row r="4" spans="1:6" ht="16" thickBot="1" x14ac:dyDescent="0.4">
      <c r="A4" s="1">
        <v>42772</v>
      </c>
      <c r="B4" s="2" t="s">
        <v>19</v>
      </c>
      <c r="C4" s="3" t="s">
        <v>101</v>
      </c>
      <c r="D4" s="33" t="s">
        <v>102</v>
      </c>
      <c r="E4" s="21" t="s">
        <v>8</v>
      </c>
      <c r="F4" s="34">
        <v>0</v>
      </c>
    </row>
    <row r="5" spans="1:6" ht="16" thickBot="1" x14ac:dyDescent="0.4">
      <c r="A5" s="1">
        <v>42780</v>
      </c>
      <c r="B5" s="2" t="s">
        <v>15</v>
      </c>
      <c r="C5" s="3" t="s">
        <v>16</v>
      </c>
      <c r="D5" s="33" t="s">
        <v>100</v>
      </c>
      <c r="E5" s="21" t="s">
        <v>18</v>
      </c>
      <c r="F5" s="34">
        <v>7</v>
      </c>
    </row>
    <row r="6" spans="1:6" ht="16" thickBot="1" x14ac:dyDescent="0.4">
      <c r="A6" s="1">
        <v>42783</v>
      </c>
      <c r="B6" s="2" t="s">
        <v>5</v>
      </c>
      <c r="C6" s="3" t="s">
        <v>27</v>
      </c>
      <c r="D6" s="33" t="s">
        <v>103</v>
      </c>
      <c r="E6" s="21" t="s">
        <v>104</v>
      </c>
      <c r="F6" s="34">
        <v>1</v>
      </c>
    </row>
    <row r="7" spans="1:6" ht="16" thickBot="1" x14ac:dyDescent="0.4">
      <c r="A7" s="1">
        <v>42845</v>
      </c>
      <c r="B7" s="2" t="s">
        <v>15</v>
      </c>
      <c r="C7" s="3" t="s">
        <v>105</v>
      </c>
      <c r="D7" s="33" t="s">
        <v>106</v>
      </c>
      <c r="E7" s="35" t="s">
        <v>107</v>
      </c>
      <c r="F7" s="34">
        <v>3</v>
      </c>
    </row>
    <row r="8" spans="1:6" ht="16" thickBot="1" x14ac:dyDescent="0.4">
      <c r="A8" s="1">
        <v>42870</v>
      </c>
      <c r="B8" s="2" t="s">
        <v>5</v>
      </c>
      <c r="C8" s="3" t="s">
        <v>6</v>
      </c>
      <c r="D8" s="33" t="s">
        <v>108</v>
      </c>
      <c r="E8" s="35" t="s">
        <v>8</v>
      </c>
      <c r="F8" s="34">
        <v>1</v>
      </c>
    </row>
    <row r="9" spans="1:6" ht="16" thickBot="1" x14ac:dyDescent="0.4">
      <c r="A9" s="1">
        <v>42873</v>
      </c>
      <c r="B9" s="2" t="s">
        <v>15</v>
      </c>
      <c r="C9" s="3" t="s">
        <v>6</v>
      </c>
      <c r="D9" s="33" t="s">
        <v>108</v>
      </c>
      <c r="E9" s="35" t="s">
        <v>8</v>
      </c>
      <c r="F9" s="34">
        <v>1</v>
      </c>
    </row>
    <row r="10" spans="1:6" ht="16" thickBot="1" x14ac:dyDescent="0.4">
      <c r="A10" s="6">
        <v>42895</v>
      </c>
      <c r="B10" s="7" t="s">
        <v>15</v>
      </c>
      <c r="C10" s="9" t="s">
        <v>109</v>
      </c>
      <c r="D10" s="36" t="s">
        <v>110</v>
      </c>
      <c r="E10" s="21" t="s">
        <v>104</v>
      </c>
      <c r="F10" s="34">
        <v>3</v>
      </c>
    </row>
    <row r="11" spans="1:6" ht="16" thickBot="1" x14ac:dyDescent="0.4">
      <c r="A11" s="6">
        <v>42898</v>
      </c>
      <c r="B11" s="7" t="s">
        <v>5</v>
      </c>
      <c r="C11" s="8" t="s">
        <v>27</v>
      </c>
      <c r="D11" s="37" t="s">
        <v>111</v>
      </c>
      <c r="E11" s="21" t="s">
        <v>104</v>
      </c>
      <c r="F11" s="34">
        <v>1</v>
      </c>
    </row>
    <row r="12" spans="1:6" ht="16" thickBot="1" x14ac:dyDescent="0.4">
      <c r="A12" s="1">
        <v>42906</v>
      </c>
      <c r="B12" s="2" t="s">
        <v>5</v>
      </c>
      <c r="C12" s="3" t="s">
        <v>112</v>
      </c>
      <c r="D12" s="33" t="s">
        <v>113</v>
      </c>
      <c r="E12" s="35" t="s">
        <v>114</v>
      </c>
      <c r="F12" s="34">
        <v>0.5</v>
      </c>
    </row>
    <row r="13" spans="1:6" ht="16" thickBot="1" x14ac:dyDescent="0.4">
      <c r="A13" s="1">
        <v>42917</v>
      </c>
      <c r="B13" s="2" t="s">
        <v>70</v>
      </c>
      <c r="C13" s="3" t="s">
        <v>115</v>
      </c>
      <c r="D13" s="33" t="s">
        <v>116</v>
      </c>
      <c r="E13" s="35" t="s">
        <v>117</v>
      </c>
      <c r="F13" s="34">
        <v>16</v>
      </c>
    </row>
    <row r="14" spans="1:6" ht="16" thickBot="1" x14ac:dyDescent="0.4">
      <c r="A14" s="1">
        <v>42948</v>
      </c>
      <c r="B14" s="2" t="s">
        <v>87</v>
      </c>
      <c r="C14" s="3" t="s">
        <v>118</v>
      </c>
      <c r="D14" s="33" t="s">
        <v>119</v>
      </c>
      <c r="E14" s="35" t="s">
        <v>18</v>
      </c>
      <c r="F14" s="34">
        <v>7</v>
      </c>
    </row>
    <row r="15" spans="1:6" ht="16" thickBot="1" x14ac:dyDescent="0.4">
      <c r="A15" s="1">
        <v>42956</v>
      </c>
      <c r="B15" s="2" t="s">
        <v>70</v>
      </c>
      <c r="C15" s="3" t="s">
        <v>59</v>
      </c>
      <c r="D15" s="33" t="s">
        <v>120</v>
      </c>
      <c r="E15" s="35" t="s">
        <v>117</v>
      </c>
      <c r="F15" s="34">
        <v>16</v>
      </c>
    </row>
    <row r="16" spans="1:6" ht="16" thickBot="1" x14ac:dyDescent="0.4">
      <c r="A16" s="1">
        <v>42959</v>
      </c>
      <c r="B16" s="2" t="s">
        <v>5</v>
      </c>
      <c r="C16" s="11" t="s">
        <v>121</v>
      </c>
      <c r="D16" s="33" t="s">
        <v>122</v>
      </c>
      <c r="E16" s="21" t="s">
        <v>104</v>
      </c>
      <c r="F16" s="34">
        <v>1</v>
      </c>
    </row>
    <row r="17" spans="1:6" ht="16" thickBot="1" x14ac:dyDescent="0.4">
      <c r="A17" s="1">
        <v>42965</v>
      </c>
      <c r="B17" s="2" t="s">
        <v>123</v>
      </c>
      <c r="C17" s="38" t="s">
        <v>124</v>
      </c>
      <c r="D17" s="33" t="s">
        <v>125</v>
      </c>
      <c r="E17" s="35" t="s">
        <v>126</v>
      </c>
      <c r="F17" s="34">
        <v>12</v>
      </c>
    </row>
    <row r="18" spans="1:6" ht="16" thickBot="1" x14ac:dyDescent="0.4">
      <c r="A18" s="1">
        <v>42966</v>
      </c>
      <c r="B18" s="2" t="s">
        <v>15</v>
      </c>
      <c r="C18" s="3" t="s">
        <v>127</v>
      </c>
      <c r="D18" s="33" t="s">
        <v>128</v>
      </c>
      <c r="E18" s="35" t="s">
        <v>18</v>
      </c>
      <c r="F18" s="34">
        <v>7</v>
      </c>
    </row>
    <row r="19" spans="1:6" ht="16" thickBot="1" x14ac:dyDescent="0.4">
      <c r="A19" s="1">
        <v>42971</v>
      </c>
      <c r="B19" s="2" t="s">
        <v>15</v>
      </c>
      <c r="C19" s="3" t="s">
        <v>129</v>
      </c>
      <c r="D19" s="33" t="s">
        <v>128</v>
      </c>
      <c r="E19" s="35" t="s">
        <v>18</v>
      </c>
      <c r="F19" s="34">
        <v>7</v>
      </c>
    </row>
    <row r="20" spans="1:6" ht="16" thickBot="1" x14ac:dyDescent="0.4">
      <c r="A20" s="1">
        <v>42989</v>
      </c>
      <c r="B20" s="2" t="s">
        <v>5</v>
      </c>
      <c r="C20" s="3" t="s">
        <v>27</v>
      </c>
      <c r="D20" s="33" t="s">
        <v>130</v>
      </c>
      <c r="E20" s="21" t="s">
        <v>104</v>
      </c>
      <c r="F20" s="34">
        <v>1</v>
      </c>
    </row>
    <row r="21" spans="1:6" ht="16" thickBot="1" x14ac:dyDescent="0.4">
      <c r="A21" s="1">
        <v>42990</v>
      </c>
      <c r="B21" s="2" t="s">
        <v>131</v>
      </c>
      <c r="C21" s="38" t="s">
        <v>132</v>
      </c>
      <c r="D21" s="33" t="s">
        <v>133</v>
      </c>
      <c r="E21" s="35" t="s">
        <v>8</v>
      </c>
      <c r="F21" s="34">
        <v>0</v>
      </c>
    </row>
    <row r="22" spans="1:6" ht="16" thickBot="1" x14ac:dyDescent="0.4">
      <c r="A22" s="1">
        <v>43059</v>
      </c>
      <c r="B22" s="2" t="s">
        <v>5</v>
      </c>
      <c r="C22" s="3" t="s">
        <v>134</v>
      </c>
      <c r="D22" s="33" t="s">
        <v>135</v>
      </c>
      <c r="E22" s="21" t="s">
        <v>104</v>
      </c>
      <c r="F22" s="34">
        <v>1</v>
      </c>
    </row>
    <row r="23" spans="1:6" ht="16" thickBot="1" x14ac:dyDescent="0.4">
      <c r="A23" s="1">
        <v>43065</v>
      </c>
      <c r="B23" s="2" t="s">
        <v>15</v>
      </c>
      <c r="C23" s="3" t="s">
        <v>27</v>
      </c>
      <c r="D23" s="33" t="s">
        <v>136</v>
      </c>
      <c r="E23" s="21" t="s">
        <v>104</v>
      </c>
      <c r="F23" s="34">
        <v>1</v>
      </c>
    </row>
    <row r="24" spans="1:6" ht="16" thickBot="1" x14ac:dyDescent="0.4">
      <c r="A24" s="1">
        <v>43068</v>
      </c>
      <c r="B24" s="2" t="s">
        <v>19</v>
      </c>
      <c r="C24" s="38" t="s">
        <v>137</v>
      </c>
      <c r="D24" s="33" t="s">
        <v>138</v>
      </c>
      <c r="E24" s="35" t="s">
        <v>139</v>
      </c>
      <c r="F24" s="34">
        <v>60</v>
      </c>
    </row>
    <row r="25" spans="1:6" ht="16" thickBot="1" x14ac:dyDescent="0.4">
      <c r="A25" s="1">
        <v>43072</v>
      </c>
      <c r="B25" s="2" t="s">
        <v>15</v>
      </c>
      <c r="C25" s="38" t="s">
        <v>140</v>
      </c>
      <c r="D25" s="33" t="s">
        <v>141</v>
      </c>
      <c r="E25" s="35" t="s">
        <v>142</v>
      </c>
      <c r="F25" s="34">
        <v>0.7</v>
      </c>
    </row>
    <row r="26" spans="1:6" ht="16" thickBot="1" x14ac:dyDescent="0.4">
      <c r="A26" s="1">
        <v>43083</v>
      </c>
      <c r="B26" s="2" t="s">
        <v>5</v>
      </c>
      <c r="C26" s="3" t="s">
        <v>27</v>
      </c>
      <c r="D26" s="33" t="s">
        <v>143</v>
      </c>
      <c r="E26" s="21" t="s">
        <v>104</v>
      </c>
      <c r="F26" s="34">
        <v>1</v>
      </c>
    </row>
    <row r="27" spans="1:6" ht="16" thickBot="1" x14ac:dyDescent="0.4">
      <c r="A27" s="1">
        <v>43098</v>
      </c>
      <c r="B27" s="2" t="s">
        <v>5</v>
      </c>
      <c r="C27" s="38" t="s">
        <v>144</v>
      </c>
      <c r="D27" s="33" t="s">
        <v>145</v>
      </c>
      <c r="E27" s="35" t="s">
        <v>146</v>
      </c>
      <c r="F27" s="34">
        <v>1</v>
      </c>
    </row>
    <row r="28" spans="1:6" ht="16" thickBot="1" x14ac:dyDescent="0.4">
      <c r="A28" s="1">
        <v>43099</v>
      </c>
      <c r="B28" s="2" t="s">
        <v>5</v>
      </c>
      <c r="C28" s="38" t="s">
        <v>147</v>
      </c>
      <c r="D28" s="33" t="s">
        <v>145</v>
      </c>
      <c r="E28" s="35" t="s">
        <v>146</v>
      </c>
      <c r="F28" s="34">
        <v>1</v>
      </c>
    </row>
    <row r="29" spans="1:6" ht="16" thickBot="1" x14ac:dyDescent="0.4">
      <c r="A29" s="1"/>
      <c r="B29" s="2"/>
      <c r="C29" s="38"/>
      <c r="D29" s="33"/>
      <c r="E29" s="34" t="s">
        <v>148</v>
      </c>
      <c r="F29" s="34">
        <f>SUM(F3:F28)</f>
        <v>157.19999999999999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sqref="A1:D18"/>
    </sheetView>
  </sheetViews>
  <sheetFormatPr baseColWidth="10" defaultRowHeight="14.5" x14ac:dyDescent="0.35"/>
  <cols>
    <col min="2" max="2" width="11.81640625" bestFit="1" customWidth="1"/>
    <col min="3" max="3" width="59.7265625" bestFit="1" customWidth="1"/>
    <col min="4" max="4" width="90.54296875" bestFit="1" customWidth="1"/>
  </cols>
  <sheetData>
    <row r="1" spans="1:4" ht="18.5" thickBot="1" x14ac:dyDescent="0.45">
      <c r="A1" s="19" t="s">
        <v>0</v>
      </c>
      <c r="B1" s="14" t="s">
        <v>1</v>
      </c>
      <c r="C1" s="15" t="s">
        <v>2</v>
      </c>
      <c r="D1" s="15" t="s">
        <v>165</v>
      </c>
    </row>
    <row r="2" spans="1:4" ht="16" thickBot="1" x14ac:dyDescent="0.4">
      <c r="A2" s="1">
        <v>42845</v>
      </c>
      <c r="B2" s="2" t="s">
        <v>15</v>
      </c>
      <c r="C2" s="3" t="s">
        <v>105</v>
      </c>
      <c r="D2" s="33" t="s">
        <v>106</v>
      </c>
    </row>
    <row r="3" spans="1:4" ht="16" thickBot="1" x14ac:dyDescent="0.4">
      <c r="A3" s="6">
        <v>42895</v>
      </c>
      <c r="B3" s="7" t="s">
        <v>15</v>
      </c>
      <c r="C3" s="9" t="s">
        <v>109</v>
      </c>
      <c r="D3" s="36" t="s">
        <v>110</v>
      </c>
    </row>
    <row r="4" spans="1:4" ht="16" thickBot="1" x14ac:dyDescent="0.4">
      <c r="A4" s="1">
        <v>42917</v>
      </c>
      <c r="B4" s="2" t="s">
        <v>70</v>
      </c>
      <c r="C4" s="3" t="s">
        <v>115</v>
      </c>
      <c r="D4" s="33" t="s">
        <v>116</v>
      </c>
    </row>
    <row r="5" spans="1:4" ht="16" thickBot="1" x14ac:dyDescent="0.4">
      <c r="A5" s="1">
        <v>42956</v>
      </c>
      <c r="B5" s="2" t="s">
        <v>70</v>
      </c>
      <c r="C5" s="3" t="s">
        <v>59</v>
      </c>
      <c r="D5" s="33" t="s">
        <v>120</v>
      </c>
    </row>
    <row r="6" spans="1:4" ht="16" thickBot="1" x14ac:dyDescent="0.4">
      <c r="A6" s="1">
        <v>43068</v>
      </c>
      <c r="B6" s="2" t="s">
        <v>19</v>
      </c>
      <c r="C6" s="38" t="s">
        <v>137</v>
      </c>
      <c r="D6" s="33" t="s">
        <v>138</v>
      </c>
    </row>
    <row r="7" spans="1:4" ht="16" thickBot="1" x14ac:dyDescent="0.4">
      <c r="A7" s="1">
        <v>43220</v>
      </c>
      <c r="B7" s="2" t="s">
        <v>15</v>
      </c>
      <c r="C7" s="3" t="s">
        <v>53</v>
      </c>
      <c r="D7" s="33" t="s">
        <v>166</v>
      </c>
    </row>
    <row r="8" spans="1:4" ht="16" thickBot="1" x14ac:dyDescent="0.4">
      <c r="A8" s="20">
        <v>43472</v>
      </c>
      <c r="B8" s="17" t="s">
        <v>15</v>
      </c>
      <c r="C8" s="18" t="s">
        <v>57</v>
      </c>
      <c r="D8" s="33" t="s">
        <v>166</v>
      </c>
    </row>
    <row r="9" spans="1:4" ht="16" thickBot="1" x14ac:dyDescent="0.4">
      <c r="A9" s="20">
        <v>43473</v>
      </c>
      <c r="B9" s="17" t="s">
        <v>15</v>
      </c>
      <c r="C9" s="3" t="s">
        <v>53</v>
      </c>
      <c r="D9" s="33" t="s">
        <v>167</v>
      </c>
    </row>
    <row r="10" spans="1:4" ht="16" thickBot="1" x14ac:dyDescent="0.4">
      <c r="A10" s="20">
        <v>43544</v>
      </c>
      <c r="B10" s="17" t="s">
        <v>19</v>
      </c>
      <c r="C10" s="18" t="s">
        <v>64</v>
      </c>
      <c r="D10" s="33" t="s">
        <v>168</v>
      </c>
    </row>
    <row r="11" spans="1:4" ht="16" thickBot="1" x14ac:dyDescent="0.4">
      <c r="A11" s="20">
        <v>43545</v>
      </c>
      <c r="B11" s="17" t="s">
        <v>66</v>
      </c>
      <c r="C11" s="18" t="s">
        <v>67</v>
      </c>
      <c r="D11" s="33" t="s">
        <v>169</v>
      </c>
    </row>
    <row r="12" spans="1:4" ht="16" thickBot="1" x14ac:dyDescent="0.4">
      <c r="A12" s="81">
        <v>43599</v>
      </c>
      <c r="B12" s="82" t="s">
        <v>70</v>
      </c>
      <c r="C12" s="18" t="s">
        <v>71</v>
      </c>
      <c r="D12" s="80" t="s">
        <v>170</v>
      </c>
    </row>
    <row r="13" spans="1:4" ht="19.5" customHeight="1" thickBot="1" x14ac:dyDescent="0.4">
      <c r="A13" s="81"/>
      <c r="B13" s="82"/>
      <c r="C13" s="18" t="s">
        <v>72</v>
      </c>
      <c r="D13" s="80"/>
    </row>
    <row r="14" spans="1:4" ht="16" thickBot="1" x14ac:dyDescent="0.4">
      <c r="A14" s="81"/>
      <c r="B14" s="82"/>
      <c r="C14" s="18" t="s">
        <v>73</v>
      </c>
      <c r="D14" s="80"/>
    </row>
    <row r="15" spans="1:4" ht="16" thickBot="1" x14ac:dyDescent="0.4">
      <c r="A15" s="42">
        <v>43738</v>
      </c>
      <c r="B15" s="17" t="s">
        <v>81</v>
      </c>
      <c r="C15" s="18" t="s">
        <v>82</v>
      </c>
      <c r="D15" s="33" t="s">
        <v>171</v>
      </c>
    </row>
    <row r="16" spans="1:4" ht="16" thickBot="1" x14ac:dyDescent="0.4">
      <c r="A16" s="20">
        <v>43742</v>
      </c>
      <c r="B16" s="17" t="s">
        <v>81</v>
      </c>
      <c r="C16" s="18" t="s">
        <v>82</v>
      </c>
      <c r="D16" s="33" t="s">
        <v>171</v>
      </c>
    </row>
    <row r="17" spans="1:4" ht="16" thickBot="1" x14ac:dyDescent="0.4">
      <c r="A17" s="20">
        <v>43965</v>
      </c>
      <c r="B17" s="17" t="s">
        <v>70</v>
      </c>
      <c r="C17" s="18" t="s">
        <v>149</v>
      </c>
      <c r="D17" s="33" t="s">
        <v>172</v>
      </c>
    </row>
    <row r="18" spans="1:4" ht="16" thickBot="1" x14ac:dyDescent="0.4">
      <c r="A18" s="20">
        <v>44152</v>
      </c>
      <c r="B18" s="17" t="s">
        <v>19</v>
      </c>
      <c r="C18" s="18" t="s">
        <v>173</v>
      </c>
      <c r="D18" s="33" t="s">
        <v>174</v>
      </c>
    </row>
  </sheetData>
  <mergeCells count="3">
    <mergeCell ref="D12:D14"/>
    <mergeCell ref="A12:A14"/>
    <mergeCell ref="B12:B1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0"/>
  <sheetViews>
    <sheetView topLeftCell="B9" workbookViewId="0">
      <selection activeCell="B12" sqref="B12:F12"/>
    </sheetView>
  </sheetViews>
  <sheetFormatPr baseColWidth="10" defaultRowHeight="14.5" x14ac:dyDescent="0.35"/>
  <cols>
    <col min="2" max="2" width="12.1796875" bestFit="1" customWidth="1"/>
    <col min="4" max="4" width="58.54296875" customWidth="1"/>
    <col min="5" max="5" width="19.81640625" customWidth="1"/>
    <col min="6" max="6" width="41.54296875" customWidth="1"/>
  </cols>
  <sheetData>
    <row r="2" spans="2:7" ht="15" thickBot="1" x14ac:dyDescent="0.4"/>
    <row r="3" spans="2:7" ht="19" thickBot="1" x14ac:dyDescent="0.5"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2" t="s">
        <v>46</v>
      </c>
    </row>
    <row r="4" spans="2:7" ht="16" thickBot="1" x14ac:dyDescent="0.4">
      <c r="B4" s="1">
        <v>43101</v>
      </c>
      <c r="C4" s="2" t="s">
        <v>5</v>
      </c>
      <c r="D4" s="3" t="s">
        <v>6</v>
      </c>
      <c r="E4" s="3" t="s">
        <v>7</v>
      </c>
      <c r="F4" s="4" t="s">
        <v>8</v>
      </c>
      <c r="G4" s="5">
        <v>0</v>
      </c>
    </row>
    <row r="5" spans="2:7" ht="16" thickBot="1" x14ac:dyDescent="0.4">
      <c r="B5" s="1">
        <v>43110</v>
      </c>
      <c r="C5" s="2" t="s">
        <v>5</v>
      </c>
      <c r="D5" s="3" t="s">
        <v>9</v>
      </c>
      <c r="E5" s="3" t="s">
        <v>10</v>
      </c>
      <c r="F5" s="4" t="s">
        <v>11</v>
      </c>
      <c r="G5" s="5">
        <v>0.4</v>
      </c>
    </row>
    <row r="6" spans="2:7" ht="16" thickBot="1" x14ac:dyDescent="0.4">
      <c r="B6" s="1">
        <v>43137</v>
      </c>
      <c r="C6" s="2" t="s">
        <v>5</v>
      </c>
      <c r="D6" s="3" t="s">
        <v>12</v>
      </c>
      <c r="E6" s="3" t="s">
        <v>13</v>
      </c>
      <c r="F6" s="4" t="s">
        <v>14</v>
      </c>
      <c r="G6" s="5">
        <v>2</v>
      </c>
    </row>
    <row r="7" spans="2:7" ht="16" thickBot="1" x14ac:dyDescent="0.4">
      <c r="B7" s="1">
        <v>43153</v>
      </c>
      <c r="C7" s="2" t="s">
        <v>15</v>
      </c>
      <c r="D7" s="3" t="s">
        <v>16</v>
      </c>
      <c r="E7" s="3" t="s">
        <v>17</v>
      </c>
      <c r="F7" s="4" t="s">
        <v>18</v>
      </c>
      <c r="G7" s="5">
        <v>3.5</v>
      </c>
    </row>
    <row r="8" spans="2:7" ht="16" thickBot="1" x14ac:dyDescent="0.4">
      <c r="B8" s="1">
        <v>43160</v>
      </c>
      <c r="C8" s="2" t="s">
        <v>19</v>
      </c>
      <c r="D8" s="3" t="s">
        <v>20</v>
      </c>
      <c r="E8" s="3" t="s">
        <v>48</v>
      </c>
      <c r="F8" s="4" t="s">
        <v>8</v>
      </c>
      <c r="G8" s="5">
        <v>0</v>
      </c>
    </row>
    <row r="9" spans="2:7" ht="16" thickBot="1" x14ac:dyDescent="0.4">
      <c r="B9" s="1">
        <v>43176</v>
      </c>
      <c r="C9" s="2" t="s">
        <v>15</v>
      </c>
      <c r="D9" s="3" t="s">
        <v>21</v>
      </c>
      <c r="E9" s="3" t="s">
        <v>22</v>
      </c>
      <c r="F9" s="4" t="s">
        <v>8</v>
      </c>
      <c r="G9" s="5">
        <v>0</v>
      </c>
    </row>
    <row r="10" spans="2:7" ht="16" thickBot="1" x14ac:dyDescent="0.4">
      <c r="B10" s="1">
        <v>43220</v>
      </c>
      <c r="C10" s="2" t="s">
        <v>15</v>
      </c>
      <c r="D10" s="3" t="s">
        <v>53</v>
      </c>
      <c r="E10" s="3" t="s">
        <v>54</v>
      </c>
      <c r="F10" s="4" t="s">
        <v>55</v>
      </c>
      <c r="G10" s="5">
        <v>4</v>
      </c>
    </row>
    <row r="11" spans="2:7" ht="16" thickBot="1" x14ac:dyDescent="0.4">
      <c r="B11" s="1">
        <v>43223</v>
      </c>
      <c r="C11" s="2" t="s">
        <v>5</v>
      </c>
      <c r="D11" s="3" t="s">
        <v>6</v>
      </c>
      <c r="E11" s="3" t="s">
        <v>23</v>
      </c>
      <c r="F11" s="4" t="s">
        <v>24</v>
      </c>
      <c r="G11" s="5">
        <v>0.5</v>
      </c>
    </row>
    <row r="12" spans="2:7" ht="16" thickBot="1" x14ac:dyDescent="0.4">
      <c r="B12" s="1">
        <v>43244</v>
      </c>
      <c r="C12" s="2" t="s">
        <v>25</v>
      </c>
      <c r="D12" s="3" t="s">
        <v>26</v>
      </c>
      <c r="E12" s="3" t="s">
        <v>47</v>
      </c>
      <c r="F12" s="4" t="s">
        <v>56</v>
      </c>
      <c r="G12" s="5">
        <v>24</v>
      </c>
    </row>
    <row r="13" spans="2:7" ht="16" thickBot="1" x14ac:dyDescent="0.4">
      <c r="B13" s="6">
        <v>43259</v>
      </c>
      <c r="C13" s="7" t="s">
        <v>5</v>
      </c>
      <c r="D13" s="8" t="s">
        <v>27</v>
      </c>
      <c r="E13" s="8" t="s">
        <v>49</v>
      </c>
      <c r="F13" s="4" t="s">
        <v>8</v>
      </c>
      <c r="G13" s="5">
        <v>0</v>
      </c>
    </row>
    <row r="14" spans="2:7" ht="16" thickBot="1" x14ac:dyDescent="0.4">
      <c r="B14" s="6">
        <v>43271</v>
      </c>
      <c r="C14" s="7" t="s">
        <v>28</v>
      </c>
      <c r="D14" s="3" t="s">
        <v>51</v>
      </c>
      <c r="E14" s="9" t="s">
        <v>50</v>
      </c>
      <c r="F14" s="4" t="s">
        <v>29</v>
      </c>
      <c r="G14" s="5">
        <v>4.5</v>
      </c>
    </row>
    <row r="15" spans="2:7" ht="16" thickBot="1" x14ac:dyDescent="0.4">
      <c r="B15" s="1">
        <v>43319</v>
      </c>
      <c r="C15" s="2" t="s">
        <v>30</v>
      </c>
      <c r="D15" s="3" t="s">
        <v>31</v>
      </c>
      <c r="E15" s="3" t="s">
        <v>32</v>
      </c>
      <c r="F15" s="10" t="s">
        <v>33</v>
      </c>
      <c r="G15" s="5">
        <v>230</v>
      </c>
    </row>
    <row r="16" spans="2:7" ht="16" thickBot="1" x14ac:dyDescent="0.4">
      <c r="B16" s="1">
        <v>43325</v>
      </c>
      <c r="C16" s="2" t="s">
        <v>34</v>
      </c>
      <c r="D16" s="3" t="s">
        <v>35</v>
      </c>
      <c r="E16" s="3" t="s">
        <v>36</v>
      </c>
      <c r="F16" s="10" t="s">
        <v>37</v>
      </c>
      <c r="G16" s="5">
        <v>10</v>
      </c>
    </row>
    <row r="17" spans="2:7" ht="16" thickBot="1" x14ac:dyDescent="0.4">
      <c r="B17" s="1">
        <v>43365</v>
      </c>
      <c r="C17" s="2" t="s">
        <v>19</v>
      </c>
      <c r="D17" s="3" t="s">
        <v>38</v>
      </c>
      <c r="E17" s="3" t="s">
        <v>39</v>
      </c>
      <c r="F17" s="4" t="s">
        <v>8</v>
      </c>
      <c r="G17" s="5">
        <v>0</v>
      </c>
    </row>
    <row r="18" spans="2:7" ht="16" thickBot="1" x14ac:dyDescent="0.4">
      <c r="B18" s="1">
        <v>43391</v>
      </c>
      <c r="C18" s="2" t="s">
        <v>40</v>
      </c>
      <c r="D18" s="3" t="s">
        <v>41</v>
      </c>
      <c r="E18" s="3" t="s">
        <v>42</v>
      </c>
      <c r="F18" s="10" t="s">
        <v>52</v>
      </c>
      <c r="G18" s="5">
        <v>3</v>
      </c>
    </row>
    <row r="19" spans="2:7" ht="16" thickBot="1" x14ac:dyDescent="0.4">
      <c r="B19" s="1">
        <v>43397</v>
      </c>
      <c r="C19" s="2" t="s">
        <v>25</v>
      </c>
      <c r="D19" s="3" t="s">
        <v>43</v>
      </c>
      <c r="E19" s="11" t="s">
        <v>44</v>
      </c>
      <c r="F19" s="10" t="s">
        <v>45</v>
      </c>
      <c r="G19" s="5">
        <v>7</v>
      </c>
    </row>
    <row r="20" spans="2:7" x14ac:dyDescent="0.35">
      <c r="G20">
        <f>SUM(G4:G19)</f>
        <v>288.89999999999998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opLeftCell="A3" workbookViewId="0">
      <selection activeCell="A16" sqref="A16:G17"/>
    </sheetView>
  </sheetViews>
  <sheetFormatPr baseColWidth="10" defaultRowHeight="14.5" x14ac:dyDescent="0.35"/>
  <cols>
    <col min="1" max="1" width="12.1796875" bestFit="1" customWidth="1"/>
    <col min="2" max="2" width="11.81640625" bestFit="1" customWidth="1"/>
    <col min="3" max="3" width="59.7265625" bestFit="1" customWidth="1"/>
    <col min="4" max="4" width="16.54296875" bestFit="1" customWidth="1"/>
    <col min="5" max="5" width="20.26953125" customWidth="1"/>
    <col min="6" max="6" width="37.453125" customWidth="1"/>
    <col min="7" max="7" width="36.26953125" customWidth="1"/>
  </cols>
  <sheetData>
    <row r="1" spans="1:7" ht="18.5" thickBot="1" x14ac:dyDescent="0.45">
      <c r="A1" s="19" t="s">
        <v>0</v>
      </c>
      <c r="B1" s="14" t="s">
        <v>1</v>
      </c>
      <c r="C1" s="15" t="s">
        <v>2</v>
      </c>
      <c r="D1" s="15" t="s">
        <v>3</v>
      </c>
      <c r="E1" s="15" t="s">
        <v>90</v>
      </c>
      <c r="F1" s="15" t="s">
        <v>85</v>
      </c>
      <c r="G1" s="16" t="s">
        <v>86</v>
      </c>
    </row>
    <row r="2" spans="1:7" ht="16" thickBot="1" x14ac:dyDescent="0.4">
      <c r="A2" s="20">
        <v>43472</v>
      </c>
      <c r="B2" s="17" t="s">
        <v>15</v>
      </c>
      <c r="C2" s="18" t="s">
        <v>57</v>
      </c>
      <c r="D2" s="18" t="s">
        <v>58</v>
      </c>
      <c r="E2" s="18"/>
      <c r="F2" s="18"/>
      <c r="G2" s="31">
        <v>1.5</v>
      </c>
    </row>
    <row r="3" spans="1:7" ht="16" thickBot="1" x14ac:dyDescent="0.4">
      <c r="A3" s="20">
        <v>43473</v>
      </c>
      <c r="B3" s="17" t="s">
        <v>15</v>
      </c>
      <c r="C3" s="18" t="s">
        <v>59</v>
      </c>
      <c r="D3" s="18" t="s">
        <v>76</v>
      </c>
      <c r="E3" s="18"/>
      <c r="F3" s="18"/>
      <c r="G3" s="31">
        <v>2</v>
      </c>
    </row>
    <row r="4" spans="1:7" ht="16" thickBot="1" x14ac:dyDescent="0.4">
      <c r="A4" s="20">
        <v>43475</v>
      </c>
      <c r="B4" s="17" t="s">
        <v>5</v>
      </c>
      <c r="C4" s="18" t="s">
        <v>60</v>
      </c>
      <c r="D4" s="18" t="s">
        <v>61</v>
      </c>
      <c r="E4" s="18"/>
      <c r="F4" s="18"/>
      <c r="G4" s="31">
        <v>0.2</v>
      </c>
    </row>
    <row r="5" spans="1:7" ht="16" thickBot="1" x14ac:dyDescent="0.4">
      <c r="A5" s="20">
        <v>43528</v>
      </c>
      <c r="B5" s="17" t="s">
        <v>19</v>
      </c>
      <c r="C5" s="18" t="s">
        <v>62</v>
      </c>
      <c r="D5" s="18" t="s">
        <v>63</v>
      </c>
      <c r="E5" s="18"/>
      <c r="F5" s="18"/>
      <c r="G5" s="31">
        <v>0</v>
      </c>
    </row>
    <row r="6" spans="1:7" ht="16" thickBot="1" x14ac:dyDescent="0.4">
      <c r="A6" s="20">
        <v>43544</v>
      </c>
      <c r="B6" s="17" t="s">
        <v>19</v>
      </c>
      <c r="C6" s="18" t="s">
        <v>64</v>
      </c>
      <c r="D6" s="18" t="s">
        <v>65</v>
      </c>
      <c r="E6" s="18"/>
      <c r="F6" s="18"/>
      <c r="G6" s="31">
        <v>6</v>
      </c>
    </row>
    <row r="7" spans="1:7" ht="16" thickBot="1" x14ac:dyDescent="0.4">
      <c r="A7" s="20">
        <v>43545</v>
      </c>
      <c r="B7" s="17" t="s">
        <v>66</v>
      </c>
      <c r="C7" s="18" t="s">
        <v>67</v>
      </c>
      <c r="D7" s="18" t="s">
        <v>68</v>
      </c>
      <c r="E7" s="18"/>
      <c r="F7" s="18"/>
      <c r="G7" s="31">
        <v>1.8</v>
      </c>
    </row>
    <row r="8" spans="1:7" ht="16" thickBot="1" x14ac:dyDescent="0.4">
      <c r="A8" s="20">
        <v>43592</v>
      </c>
      <c r="B8" s="17" t="s">
        <v>66</v>
      </c>
      <c r="C8" s="18" t="s">
        <v>69</v>
      </c>
      <c r="D8" s="18" t="s">
        <v>77</v>
      </c>
      <c r="E8" s="18"/>
      <c r="F8" s="18"/>
      <c r="G8" s="31">
        <v>0.3</v>
      </c>
    </row>
    <row r="9" spans="1:7" ht="16" thickBot="1" x14ac:dyDescent="0.4">
      <c r="A9" s="81">
        <v>43599</v>
      </c>
      <c r="B9" s="82" t="s">
        <v>70</v>
      </c>
      <c r="C9" s="18" t="s">
        <v>71</v>
      </c>
      <c r="D9" s="90" t="s">
        <v>78</v>
      </c>
      <c r="E9" s="22"/>
      <c r="F9" s="22"/>
      <c r="G9" s="85">
        <v>6</v>
      </c>
    </row>
    <row r="10" spans="1:7" ht="16" thickBot="1" x14ac:dyDescent="0.4">
      <c r="A10" s="81"/>
      <c r="B10" s="82"/>
      <c r="C10" s="18" t="s">
        <v>72</v>
      </c>
      <c r="D10" s="90"/>
      <c r="E10" s="23"/>
      <c r="F10" s="23"/>
      <c r="G10" s="86"/>
    </row>
    <row r="11" spans="1:7" ht="16" thickBot="1" x14ac:dyDescent="0.4">
      <c r="A11" s="81"/>
      <c r="B11" s="82"/>
      <c r="C11" s="18" t="s">
        <v>73</v>
      </c>
      <c r="D11" s="90"/>
      <c r="E11" s="24"/>
      <c r="F11" s="24"/>
      <c r="G11" s="87"/>
    </row>
    <row r="12" spans="1:7" ht="16.5" customHeight="1" thickBot="1" x14ac:dyDescent="0.4">
      <c r="A12" s="81">
        <v>43678</v>
      </c>
      <c r="B12" s="82" t="s">
        <v>19</v>
      </c>
      <c r="C12" s="91" t="s">
        <v>74</v>
      </c>
      <c r="D12" s="92" t="s">
        <v>75</v>
      </c>
      <c r="E12" s="25"/>
      <c r="F12" s="25"/>
      <c r="G12" s="85">
        <v>0</v>
      </c>
    </row>
    <row r="13" spans="1:7" ht="15.75" customHeight="1" thickBot="1" x14ac:dyDescent="0.4">
      <c r="A13" s="81"/>
      <c r="B13" s="82"/>
      <c r="C13" s="91"/>
      <c r="D13" s="92"/>
      <c r="E13" s="26"/>
      <c r="F13" s="26"/>
      <c r="G13" s="87"/>
    </row>
    <row r="14" spans="1:7" ht="16.5" customHeight="1" thickBot="1" x14ac:dyDescent="0.4">
      <c r="A14" s="81">
        <v>43685</v>
      </c>
      <c r="B14" s="82" t="s">
        <v>70</v>
      </c>
      <c r="C14" s="88" t="s">
        <v>79</v>
      </c>
      <c r="D14" s="89" t="s">
        <v>80</v>
      </c>
      <c r="E14" s="27"/>
      <c r="F14" s="27"/>
      <c r="G14" s="85">
        <v>5.8</v>
      </c>
    </row>
    <row r="15" spans="1:7" ht="15.75" customHeight="1" thickBot="1" x14ac:dyDescent="0.4">
      <c r="A15" s="81"/>
      <c r="B15" s="82"/>
      <c r="C15" s="88"/>
      <c r="D15" s="89"/>
      <c r="E15" s="28"/>
      <c r="F15" s="28"/>
      <c r="G15" s="87"/>
    </row>
    <row r="16" spans="1:7" ht="18.5" thickBot="1" x14ac:dyDescent="0.4">
      <c r="A16" s="83">
        <v>43738</v>
      </c>
      <c r="B16" s="17" t="s">
        <v>81</v>
      </c>
      <c r="C16" s="18" t="s">
        <v>82</v>
      </c>
      <c r="D16" s="18" t="s">
        <v>94</v>
      </c>
      <c r="E16" s="29">
        <v>120</v>
      </c>
      <c r="F16" s="29">
        <v>3</v>
      </c>
      <c r="G16" s="31">
        <v>9</v>
      </c>
    </row>
    <row r="17" spans="1:7" ht="31.5" thickBot="1" x14ac:dyDescent="0.4">
      <c r="A17" s="84"/>
      <c r="B17" s="17" t="s">
        <v>87</v>
      </c>
      <c r="C17" s="18" t="s">
        <v>83</v>
      </c>
      <c r="D17" s="18" t="s">
        <v>84</v>
      </c>
      <c r="E17" s="29">
        <v>2</v>
      </c>
      <c r="F17" s="29">
        <v>1.5</v>
      </c>
      <c r="G17" s="31">
        <f>F17*E17</f>
        <v>3</v>
      </c>
    </row>
    <row r="18" spans="1:7" ht="22.5" customHeight="1" thickBot="1" x14ac:dyDescent="0.45">
      <c r="A18" s="20">
        <v>43742</v>
      </c>
      <c r="B18" s="17" t="s">
        <v>81</v>
      </c>
      <c r="C18" s="18" t="s">
        <v>82</v>
      </c>
      <c r="D18" s="18" t="s">
        <v>88</v>
      </c>
      <c r="E18" s="30">
        <v>20</v>
      </c>
      <c r="F18" s="30">
        <v>3</v>
      </c>
      <c r="G18" s="31">
        <f>F18*E18/60</f>
        <v>1</v>
      </c>
    </row>
    <row r="19" spans="1:7" ht="18.75" customHeight="1" thickBot="1" x14ac:dyDescent="0.45">
      <c r="A19" s="20">
        <v>43745</v>
      </c>
      <c r="B19" s="17" t="s">
        <v>40</v>
      </c>
      <c r="C19" s="18" t="s">
        <v>91</v>
      </c>
      <c r="D19" s="18" t="s">
        <v>89</v>
      </c>
      <c r="E19" s="30">
        <v>20</v>
      </c>
      <c r="F19" s="30">
        <v>1.8</v>
      </c>
      <c r="G19" s="31">
        <f>F19*E19/60</f>
        <v>0.6</v>
      </c>
    </row>
    <row r="20" spans="1:7" ht="24.75" customHeight="1" thickBot="1" x14ac:dyDescent="0.4">
      <c r="A20" s="20"/>
      <c r="B20" s="17"/>
      <c r="C20" s="18"/>
      <c r="D20" s="18"/>
      <c r="E20" s="18"/>
      <c r="F20" s="18"/>
      <c r="G20" s="21">
        <f>SUM(G2:G19)</f>
        <v>37.200000000000003</v>
      </c>
    </row>
  </sheetData>
  <mergeCells count="15">
    <mergeCell ref="A16:A17"/>
    <mergeCell ref="G9:G11"/>
    <mergeCell ref="G12:G13"/>
    <mergeCell ref="A14:A15"/>
    <mergeCell ref="B14:B15"/>
    <mergeCell ref="C14:C15"/>
    <mergeCell ref="D14:D15"/>
    <mergeCell ref="G14:G15"/>
    <mergeCell ref="A9:A11"/>
    <mergeCell ref="B9:B11"/>
    <mergeCell ref="D9:D11"/>
    <mergeCell ref="A12:A13"/>
    <mergeCell ref="B12:B13"/>
    <mergeCell ref="C12:C13"/>
    <mergeCell ref="D12:D13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A3" sqref="A3:G3"/>
    </sheetView>
  </sheetViews>
  <sheetFormatPr baseColWidth="10" defaultRowHeight="14.5" x14ac:dyDescent="0.35"/>
  <cols>
    <col min="1" max="1" width="12.1796875" bestFit="1" customWidth="1"/>
    <col min="2" max="2" width="11.81640625" bestFit="1" customWidth="1"/>
    <col min="3" max="3" width="59.7265625" bestFit="1" customWidth="1"/>
    <col min="4" max="4" width="16.54296875" bestFit="1" customWidth="1"/>
    <col min="5" max="5" width="20.26953125" customWidth="1"/>
    <col min="6" max="6" width="37.453125" customWidth="1"/>
    <col min="7" max="7" width="36.26953125" customWidth="1"/>
  </cols>
  <sheetData>
    <row r="1" spans="1:7" ht="18.5" thickBot="1" x14ac:dyDescent="0.45">
      <c r="A1" s="19" t="s">
        <v>0</v>
      </c>
      <c r="B1" s="14" t="s">
        <v>1</v>
      </c>
      <c r="C1" s="15" t="s">
        <v>2</v>
      </c>
      <c r="D1" s="15" t="s">
        <v>3</v>
      </c>
      <c r="E1" s="15" t="s">
        <v>90</v>
      </c>
      <c r="F1" s="15" t="s">
        <v>85</v>
      </c>
      <c r="G1" s="16" t="s">
        <v>86</v>
      </c>
    </row>
    <row r="2" spans="1:7" ht="16" thickBot="1" x14ac:dyDescent="0.4">
      <c r="A2" s="20">
        <v>43862</v>
      </c>
      <c r="B2" s="17" t="s">
        <v>81</v>
      </c>
      <c r="C2" s="18" t="s">
        <v>92</v>
      </c>
      <c r="D2" s="18" t="s">
        <v>93</v>
      </c>
      <c r="E2" s="18"/>
      <c r="F2" s="18"/>
      <c r="G2" s="31">
        <f>E2*F2/60</f>
        <v>0</v>
      </c>
    </row>
    <row r="3" spans="1:7" ht="16" thickBot="1" x14ac:dyDescent="0.4">
      <c r="A3" s="20">
        <v>43879</v>
      </c>
      <c r="B3" s="17" t="s">
        <v>87</v>
      </c>
      <c r="C3" s="18" t="s">
        <v>95</v>
      </c>
      <c r="D3" s="18" t="s">
        <v>96</v>
      </c>
      <c r="E3" s="18">
        <v>30</v>
      </c>
      <c r="F3" s="18">
        <v>1</v>
      </c>
      <c r="G3" s="31">
        <f>E3*F3/60</f>
        <v>0.5</v>
      </c>
    </row>
    <row r="4" spans="1:7" ht="16" thickBot="1" x14ac:dyDescent="0.4">
      <c r="A4" s="20">
        <v>43906</v>
      </c>
      <c r="B4" s="17" t="s">
        <v>70</v>
      </c>
      <c r="C4" s="18" t="s">
        <v>97</v>
      </c>
      <c r="D4" s="18"/>
      <c r="E4" s="18"/>
      <c r="F4" s="18"/>
      <c r="G4" s="31">
        <f>E4*F4/60</f>
        <v>0</v>
      </c>
    </row>
    <row r="5" spans="1:7" ht="16" thickBot="1" x14ac:dyDescent="0.4">
      <c r="A5" s="20">
        <v>43965</v>
      </c>
      <c r="B5" s="17" t="s">
        <v>70</v>
      </c>
      <c r="C5" s="18" t="s">
        <v>149</v>
      </c>
      <c r="D5" s="18" t="s">
        <v>150</v>
      </c>
      <c r="E5" s="18">
        <v>10</v>
      </c>
      <c r="F5" s="18">
        <v>16</v>
      </c>
      <c r="G5" s="31">
        <f>E5*F5/60</f>
        <v>2.6666666666666665</v>
      </c>
    </row>
    <row r="6" spans="1:7" ht="16" thickBot="1" x14ac:dyDescent="0.4">
      <c r="A6" s="20">
        <v>44152</v>
      </c>
      <c r="B6" s="17" t="s">
        <v>19</v>
      </c>
      <c r="C6" s="18" t="s">
        <v>151</v>
      </c>
      <c r="D6" s="18" t="s">
        <v>152</v>
      </c>
      <c r="E6" s="18">
        <v>14</v>
      </c>
      <c r="F6" s="18">
        <v>20</v>
      </c>
      <c r="G6" s="31">
        <f>E6*F6/60</f>
        <v>4.666666666666667</v>
      </c>
    </row>
    <row r="7" spans="1:7" ht="16" thickBot="1" x14ac:dyDescent="0.4">
      <c r="A7" s="20"/>
      <c r="B7" s="17"/>
      <c r="C7" s="18"/>
      <c r="D7" s="18"/>
      <c r="E7" s="18"/>
      <c r="F7" s="18"/>
      <c r="G7" s="31"/>
    </row>
    <row r="8" spans="1:7" ht="16" thickBot="1" x14ac:dyDescent="0.4">
      <c r="A8" s="20"/>
      <c r="B8" s="17"/>
      <c r="C8" s="18"/>
      <c r="D8" s="18"/>
      <c r="E8" s="18"/>
      <c r="F8" s="18"/>
      <c r="G8" s="31">
        <f>SUM(G2:G6)</f>
        <v>7.8333333333333339</v>
      </c>
    </row>
    <row r="9" spans="1:7" ht="16" thickBot="1" x14ac:dyDescent="0.4">
      <c r="A9" s="81"/>
      <c r="B9" s="82"/>
      <c r="C9" s="18"/>
      <c r="D9" s="90"/>
      <c r="E9" s="22"/>
      <c r="F9" s="22"/>
      <c r="G9" s="85"/>
    </row>
    <row r="10" spans="1:7" ht="16" thickBot="1" x14ac:dyDescent="0.4">
      <c r="A10" s="81"/>
      <c r="B10" s="82"/>
      <c r="C10" s="18"/>
      <c r="D10" s="90"/>
      <c r="E10" s="23"/>
      <c r="F10" s="23"/>
      <c r="G10" s="86"/>
    </row>
    <row r="11" spans="1:7" ht="16" thickBot="1" x14ac:dyDescent="0.4">
      <c r="A11" s="81"/>
      <c r="B11" s="82"/>
      <c r="C11" s="18"/>
      <c r="D11" s="90"/>
      <c r="E11" s="24"/>
      <c r="F11" s="24"/>
      <c r="G11" s="87"/>
    </row>
    <row r="12" spans="1:7" ht="16.5" customHeight="1" thickBot="1" x14ac:dyDescent="0.4">
      <c r="A12" s="81"/>
      <c r="B12" s="82"/>
      <c r="C12" s="91"/>
      <c r="D12" s="92"/>
      <c r="E12" s="25"/>
      <c r="F12" s="25"/>
      <c r="G12" s="85"/>
    </row>
    <row r="13" spans="1:7" ht="15.75" customHeight="1" thickBot="1" x14ac:dyDescent="0.4">
      <c r="A13" s="81"/>
      <c r="B13" s="82"/>
      <c r="C13" s="91"/>
      <c r="D13" s="92"/>
      <c r="E13" s="26"/>
      <c r="F13" s="26"/>
      <c r="G13" s="87"/>
    </row>
    <row r="14" spans="1:7" ht="16.5" customHeight="1" thickBot="1" x14ac:dyDescent="0.4">
      <c r="A14" s="81"/>
      <c r="B14" s="82"/>
      <c r="C14" s="88"/>
      <c r="D14" s="89"/>
      <c r="E14" s="27"/>
      <c r="F14" s="27"/>
      <c r="G14" s="85"/>
    </row>
    <row r="15" spans="1:7" ht="15.75" customHeight="1" thickBot="1" x14ac:dyDescent="0.4">
      <c r="A15" s="81"/>
      <c r="B15" s="82"/>
      <c r="C15" s="88"/>
      <c r="D15" s="89"/>
      <c r="E15" s="28"/>
      <c r="F15" s="28"/>
      <c r="G15" s="87"/>
    </row>
    <row r="16" spans="1:7" ht="18.5" thickBot="1" x14ac:dyDescent="0.4">
      <c r="A16" s="83"/>
      <c r="B16" s="17"/>
      <c r="C16" s="18"/>
      <c r="D16" s="18"/>
      <c r="E16" s="29"/>
      <c r="F16" s="29"/>
      <c r="G16" s="31"/>
    </row>
    <row r="17" spans="1:7" ht="18.5" thickBot="1" x14ac:dyDescent="0.4">
      <c r="A17" s="84"/>
      <c r="B17" s="17"/>
      <c r="C17" s="18"/>
      <c r="D17" s="18"/>
      <c r="E17" s="29"/>
      <c r="F17" s="29"/>
      <c r="G17" s="31"/>
    </row>
    <row r="18" spans="1:7" ht="22.5" customHeight="1" thickBot="1" x14ac:dyDescent="0.45">
      <c r="A18" s="20"/>
      <c r="B18" s="17"/>
      <c r="C18" s="18"/>
      <c r="D18" s="18"/>
      <c r="E18" s="30"/>
      <c r="F18" s="30"/>
      <c r="G18" s="31"/>
    </row>
    <row r="19" spans="1:7" ht="18.75" customHeight="1" thickBot="1" x14ac:dyDescent="0.45">
      <c r="A19" s="20"/>
      <c r="B19" s="17"/>
      <c r="C19" s="18"/>
      <c r="D19" s="18"/>
      <c r="E19" s="30"/>
      <c r="F19" s="30"/>
      <c r="G19" s="31"/>
    </row>
    <row r="20" spans="1:7" ht="24.75" customHeight="1" thickBot="1" x14ac:dyDescent="0.4">
      <c r="A20" s="20"/>
      <c r="B20" s="17"/>
      <c r="C20" s="18"/>
      <c r="D20" s="18"/>
      <c r="E20" s="18"/>
      <c r="F20" s="18"/>
      <c r="G20" s="21"/>
    </row>
  </sheetData>
  <mergeCells count="15">
    <mergeCell ref="A16:A17"/>
    <mergeCell ref="A9:A11"/>
    <mergeCell ref="B9:B11"/>
    <mergeCell ref="D9:D11"/>
    <mergeCell ref="G9:G11"/>
    <mergeCell ref="A12:A13"/>
    <mergeCell ref="B12:B13"/>
    <mergeCell ref="C12:C13"/>
    <mergeCell ref="D12:D13"/>
    <mergeCell ref="G12:G13"/>
    <mergeCell ref="A14:A15"/>
    <mergeCell ref="B14:B15"/>
    <mergeCell ref="C14:C15"/>
    <mergeCell ref="D14:D15"/>
    <mergeCell ref="G14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selection activeCell="A4" sqref="A4:H4"/>
    </sheetView>
  </sheetViews>
  <sheetFormatPr baseColWidth="10" defaultRowHeight="14.5" x14ac:dyDescent="0.35"/>
  <cols>
    <col min="1" max="1" width="15" bestFit="1" customWidth="1"/>
    <col min="2" max="2" width="15.81640625" customWidth="1"/>
    <col min="3" max="3" width="66.81640625" customWidth="1"/>
    <col min="4" max="4" width="64.7265625" bestFit="1" customWidth="1"/>
    <col min="5" max="5" width="16.54296875" bestFit="1" customWidth="1"/>
    <col min="6" max="6" width="14" customWidth="1"/>
    <col min="7" max="7" width="21.7265625" customWidth="1"/>
    <col min="8" max="8" width="19.7265625" customWidth="1"/>
  </cols>
  <sheetData>
    <row r="1" spans="1:8" ht="36.5" thickBot="1" x14ac:dyDescent="0.45">
      <c r="A1" s="19" t="s">
        <v>0</v>
      </c>
      <c r="B1" s="14" t="s">
        <v>1</v>
      </c>
      <c r="C1" s="15" t="s">
        <v>2</v>
      </c>
      <c r="D1" s="15" t="s">
        <v>159</v>
      </c>
      <c r="E1" s="15" t="s">
        <v>3</v>
      </c>
      <c r="F1" s="30" t="s">
        <v>90</v>
      </c>
      <c r="G1" s="30" t="s">
        <v>85</v>
      </c>
      <c r="H1" s="16" t="s">
        <v>86</v>
      </c>
    </row>
    <row r="2" spans="1:8" ht="18.5" thickBot="1" x14ac:dyDescent="0.45">
      <c r="A2" s="20">
        <v>44343</v>
      </c>
      <c r="B2" s="14" t="s">
        <v>70</v>
      </c>
      <c r="C2" s="18" t="s">
        <v>160</v>
      </c>
      <c r="D2" s="18" t="s">
        <v>161</v>
      </c>
      <c r="E2" s="18" t="s">
        <v>164</v>
      </c>
      <c r="F2" s="43">
        <v>15</v>
      </c>
      <c r="G2" s="43">
        <v>16</v>
      </c>
      <c r="H2" s="31">
        <f t="shared" ref="H2:H8" si="0">G2*F2/60</f>
        <v>4</v>
      </c>
    </row>
    <row r="3" spans="1:8" ht="16" thickBot="1" x14ac:dyDescent="0.4">
      <c r="A3" s="20">
        <v>44345</v>
      </c>
      <c r="B3" s="17" t="s">
        <v>153</v>
      </c>
      <c r="C3" s="18" t="s">
        <v>154</v>
      </c>
      <c r="D3" s="18" t="s">
        <v>162</v>
      </c>
      <c r="E3" s="18" t="s">
        <v>155</v>
      </c>
      <c r="F3" s="40">
        <v>20</v>
      </c>
      <c r="G3" s="40">
        <v>3</v>
      </c>
      <c r="H3" s="31">
        <f t="shared" si="0"/>
        <v>1</v>
      </c>
    </row>
    <row r="4" spans="1:8" ht="31.5" thickBot="1" x14ac:dyDescent="0.4">
      <c r="A4" s="20">
        <v>44353</v>
      </c>
      <c r="B4" s="17" t="s">
        <v>156</v>
      </c>
      <c r="C4" s="18" t="s">
        <v>157</v>
      </c>
      <c r="D4" s="18" t="s">
        <v>163</v>
      </c>
      <c r="E4" s="18" t="s">
        <v>158</v>
      </c>
      <c r="F4" s="40">
        <v>40</v>
      </c>
      <c r="G4" s="40">
        <v>12</v>
      </c>
      <c r="H4" s="31">
        <f t="shared" si="0"/>
        <v>8</v>
      </c>
    </row>
    <row r="5" spans="1:8" ht="21.75" customHeight="1" thickBot="1" x14ac:dyDescent="0.4">
      <c r="A5" s="20">
        <v>44450</v>
      </c>
      <c r="B5" s="17" t="s">
        <v>81</v>
      </c>
      <c r="C5" s="18" t="s">
        <v>175</v>
      </c>
      <c r="D5" s="18" t="s">
        <v>176</v>
      </c>
      <c r="E5" s="18" t="s">
        <v>179</v>
      </c>
      <c r="F5" s="44">
        <v>45</v>
      </c>
      <c r="G5" s="44">
        <v>3</v>
      </c>
      <c r="H5" s="31">
        <f t="shared" si="0"/>
        <v>2.25</v>
      </c>
    </row>
    <row r="6" spans="1:8" ht="18.75" customHeight="1" thickBot="1" x14ac:dyDescent="0.4">
      <c r="A6" s="20" t="s">
        <v>177</v>
      </c>
      <c r="B6" s="17" t="s">
        <v>81</v>
      </c>
      <c r="C6" s="18" t="s">
        <v>175</v>
      </c>
      <c r="D6" s="18" t="s">
        <v>176</v>
      </c>
      <c r="E6" s="18" t="s">
        <v>178</v>
      </c>
      <c r="F6" s="45">
        <v>40</v>
      </c>
      <c r="G6" s="45">
        <v>3</v>
      </c>
      <c r="H6" s="31">
        <f t="shared" si="0"/>
        <v>2</v>
      </c>
    </row>
    <row r="7" spans="1:8" ht="21" customHeight="1" thickBot="1" x14ac:dyDescent="0.4">
      <c r="A7" s="20">
        <v>44483</v>
      </c>
      <c r="B7" s="17" t="s">
        <v>40</v>
      </c>
      <c r="C7" s="18" t="s">
        <v>182</v>
      </c>
      <c r="D7" s="18" t="s">
        <v>176</v>
      </c>
      <c r="E7" s="18" t="s">
        <v>180</v>
      </c>
      <c r="F7" s="46">
        <v>45</v>
      </c>
      <c r="G7" s="46">
        <v>1</v>
      </c>
      <c r="H7" s="31">
        <f t="shared" si="0"/>
        <v>0.75</v>
      </c>
    </row>
    <row r="8" spans="1:8" ht="25.5" customHeight="1" thickBot="1" x14ac:dyDescent="0.4">
      <c r="A8" s="20">
        <v>44544</v>
      </c>
      <c r="B8" s="17" t="s">
        <v>181</v>
      </c>
      <c r="C8" s="47" t="s">
        <v>183</v>
      </c>
      <c r="D8" s="18" t="s">
        <v>184</v>
      </c>
      <c r="E8" s="46" t="s">
        <v>185</v>
      </c>
      <c r="F8" s="46">
        <v>30</v>
      </c>
      <c r="G8" s="46">
        <v>24</v>
      </c>
      <c r="H8" s="31">
        <f t="shared" si="0"/>
        <v>12</v>
      </c>
    </row>
    <row r="9" spans="1:8" ht="16" thickBot="1" x14ac:dyDescent="0.4">
      <c r="A9" s="20"/>
      <c r="B9" s="17"/>
      <c r="C9" s="18"/>
      <c r="D9" s="18"/>
      <c r="E9" s="18"/>
      <c r="F9" s="18"/>
      <c r="G9" s="18"/>
      <c r="H9" s="31"/>
    </row>
    <row r="10" spans="1:8" ht="16" thickBot="1" x14ac:dyDescent="0.4">
      <c r="A10" s="81"/>
      <c r="B10" s="82"/>
      <c r="C10" s="18"/>
      <c r="D10" s="18"/>
      <c r="E10" s="90"/>
      <c r="F10" s="22"/>
      <c r="G10" s="22"/>
      <c r="H10" s="85"/>
    </row>
    <row r="11" spans="1:8" ht="16" thickBot="1" x14ac:dyDescent="0.4">
      <c r="A11" s="81"/>
      <c r="B11" s="82"/>
      <c r="C11" s="18"/>
      <c r="D11" s="18"/>
      <c r="E11" s="90"/>
      <c r="F11" s="23"/>
      <c r="G11" s="23"/>
      <c r="H11" s="86"/>
    </row>
    <row r="12" spans="1:8" ht="16" thickBot="1" x14ac:dyDescent="0.4">
      <c r="A12" s="81"/>
      <c r="B12" s="82"/>
      <c r="C12" s="18"/>
      <c r="D12" s="18"/>
      <c r="E12" s="90"/>
      <c r="F12" s="24"/>
      <c r="G12" s="24"/>
      <c r="H12" s="87"/>
    </row>
    <row r="13" spans="1:8" ht="16.5" customHeight="1" thickBot="1" x14ac:dyDescent="0.4">
      <c r="A13" s="81"/>
      <c r="B13" s="82"/>
      <c r="C13" s="91"/>
      <c r="D13" s="41"/>
      <c r="E13" s="92"/>
      <c r="F13" s="25"/>
      <c r="G13" s="25"/>
      <c r="H13" s="85"/>
    </row>
    <row r="14" spans="1:8" ht="15.75" customHeight="1" thickBot="1" x14ac:dyDescent="0.4">
      <c r="A14" s="81"/>
      <c r="B14" s="82"/>
      <c r="C14" s="91"/>
      <c r="D14" s="41"/>
      <c r="E14" s="92"/>
      <c r="F14" s="26"/>
      <c r="G14" s="26"/>
      <c r="H14" s="87"/>
    </row>
    <row r="15" spans="1:8" ht="16.5" customHeight="1" thickBot="1" x14ac:dyDescent="0.4">
      <c r="A15" s="81"/>
      <c r="B15" s="82"/>
      <c r="C15" s="88"/>
      <c r="D15" s="39"/>
      <c r="E15" s="89"/>
      <c r="F15" s="27"/>
      <c r="G15" s="27"/>
      <c r="H15" s="85"/>
    </row>
    <row r="16" spans="1:8" ht="15.75" customHeight="1" thickBot="1" x14ac:dyDescent="0.4">
      <c r="A16" s="81"/>
      <c r="B16" s="82"/>
      <c r="C16" s="88"/>
      <c r="D16" s="39"/>
      <c r="E16" s="89"/>
      <c r="F16" s="28"/>
      <c r="G16" s="28"/>
      <c r="H16" s="87"/>
    </row>
    <row r="17" spans="1:8" ht="18.5" thickBot="1" x14ac:dyDescent="0.4">
      <c r="A17" s="83"/>
      <c r="B17" s="17"/>
      <c r="C17" s="18"/>
      <c r="D17" s="18"/>
      <c r="E17" s="18"/>
      <c r="F17" s="29"/>
      <c r="G17" s="29"/>
      <c r="H17" s="31"/>
    </row>
    <row r="18" spans="1:8" ht="18.5" thickBot="1" x14ac:dyDescent="0.4">
      <c r="A18" s="84"/>
      <c r="B18" s="17"/>
      <c r="C18" s="18"/>
      <c r="D18" s="18"/>
      <c r="E18" s="18"/>
      <c r="F18" s="29"/>
      <c r="G18" s="29"/>
      <c r="H18" s="31"/>
    </row>
    <row r="19" spans="1:8" ht="22.5" customHeight="1" thickBot="1" x14ac:dyDescent="0.45">
      <c r="A19" s="20"/>
      <c r="B19" s="17"/>
      <c r="C19" s="18"/>
      <c r="D19" s="18"/>
      <c r="E19" s="18"/>
      <c r="F19" s="30"/>
      <c r="G19" s="30"/>
      <c r="H19" s="31"/>
    </row>
    <row r="20" spans="1:8" ht="18.75" customHeight="1" thickBot="1" x14ac:dyDescent="0.45">
      <c r="A20" s="20"/>
      <c r="B20" s="17"/>
      <c r="C20" s="18"/>
      <c r="D20" s="18"/>
      <c r="E20" s="18"/>
      <c r="F20" s="30"/>
      <c r="G20" s="30"/>
      <c r="H20" s="31"/>
    </row>
    <row r="21" spans="1:8" ht="24.75" customHeight="1" thickBot="1" x14ac:dyDescent="0.4">
      <c r="A21" s="20"/>
      <c r="B21" s="17"/>
      <c r="C21" s="18"/>
      <c r="D21" s="18"/>
      <c r="E21" s="18"/>
      <c r="F21" s="18"/>
      <c r="G21" s="18"/>
      <c r="H21" s="48">
        <f>SUM(H2:H20)</f>
        <v>30</v>
      </c>
    </row>
  </sheetData>
  <mergeCells count="15">
    <mergeCell ref="A17:A18"/>
    <mergeCell ref="A10:A12"/>
    <mergeCell ref="B10:B12"/>
    <mergeCell ref="E10:E12"/>
    <mergeCell ref="H10:H12"/>
    <mergeCell ref="A13:A14"/>
    <mergeCell ref="B13:B14"/>
    <mergeCell ref="C13:C14"/>
    <mergeCell ref="E13:E14"/>
    <mergeCell ref="H13:H14"/>
    <mergeCell ref="A15:A16"/>
    <mergeCell ref="B15:B16"/>
    <mergeCell ref="C15:C16"/>
    <mergeCell ref="E15:E16"/>
    <mergeCell ref="H15:H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zoomScale="85" zoomScaleNormal="85" workbookViewId="0">
      <selection activeCell="L5" sqref="L5"/>
    </sheetView>
  </sheetViews>
  <sheetFormatPr baseColWidth="10" defaultRowHeight="14.5" x14ac:dyDescent="0.35"/>
  <cols>
    <col min="1" max="2" width="34" customWidth="1"/>
    <col min="3" max="3" width="37.453125" customWidth="1"/>
    <col min="4" max="4" width="46.7265625" customWidth="1"/>
    <col min="5" max="6" width="24.7265625" customWidth="1"/>
    <col min="7" max="7" width="26" customWidth="1"/>
    <col min="8" max="8" width="23.54296875" customWidth="1"/>
    <col min="9" max="9" width="21.453125" customWidth="1"/>
  </cols>
  <sheetData>
    <row r="1" spans="1:9" ht="39" customHeight="1" thickBot="1" x14ac:dyDescent="0.4">
      <c r="A1" s="57" t="s">
        <v>0</v>
      </c>
      <c r="B1" s="58" t="s">
        <v>1</v>
      </c>
      <c r="C1" s="59" t="s">
        <v>2</v>
      </c>
      <c r="D1" s="59" t="s">
        <v>159</v>
      </c>
      <c r="E1" s="60" t="s">
        <v>188</v>
      </c>
      <c r="F1" s="60" t="s">
        <v>189</v>
      </c>
      <c r="G1" s="60" t="s">
        <v>90</v>
      </c>
      <c r="H1" s="60" t="s">
        <v>85</v>
      </c>
      <c r="I1" s="61" t="s">
        <v>86</v>
      </c>
    </row>
    <row r="2" spans="1:9" ht="39.75" customHeight="1" thickBot="1" x14ac:dyDescent="0.45">
      <c r="A2" s="20">
        <v>44612</v>
      </c>
      <c r="B2" s="14" t="s">
        <v>153</v>
      </c>
      <c r="C2" s="18" t="s">
        <v>186</v>
      </c>
      <c r="D2" s="62" t="s">
        <v>194</v>
      </c>
      <c r="E2" s="18" t="s">
        <v>187</v>
      </c>
      <c r="F2" s="18" t="s">
        <v>190</v>
      </c>
      <c r="G2" s="43">
        <v>25</v>
      </c>
      <c r="H2" s="43">
        <v>3.5</v>
      </c>
      <c r="I2" s="31">
        <f>H2*G2/60</f>
        <v>1.4583333333333333</v>
      </c>
    </row>
    <row r="3" spans="1:9" ht="64.5" customHeight="1" thickBot="1" x14ac:dyDescent="0.45">
      <c r="A3" s="20">
        <v>44769</v>
      </c>
      <c r="B3" s="14" t="s">
        <v>181</v>
      </c>
      <c r="C3" s="18" t="s">
        <v>191</v>
      </c>
      <c r="D3" s="62" t="s">
        <v>194</v>
      </c>
      <c r="E3" s="18" t="s">
        <v>192</v>
      </c>
      <c r="F3" s="18" t="s">
        <v>193</v>
      </c>
      <c r="G3" s="50">
        <v>30</v>
      </c>
      <c r="H3" s="50">
        <v>16</v>
      </c>
      <c r="I3" s="31">
        <f>H3*G3/60</f>
        <v>8</v>
      </c>
    </row>
    <row r="4" spans="1:9" ht="16" thickBot="1" x14ac:dyDescent="0.4">
      <c r="A4" s="20"/>
      <c r="B4" s="17"/>
      <c r="C4" s="18"/>
      <c r="D4" s="18"/>
      <c r="E4" s="18"/>
      <c r="F4" s="18"/>
      <c r="G4" s="50"/>
      <c r="H4" s="50"/>
      <c r="I4" s="31" t="e">
        <f t="shared" ref="I4:I14" si="0">H4/G4</f>
        <v>#DIV/0!</v>
      </c>
    </row>
    <row r="5" spans="1:9" ht="16" thickBot="1" x14ac:dyDescent="0.4">
      <c r="A5" s="20"/>
      <c r="B5" s="17"/>
      <c r="C5" s="18"/>
      <c r="D5" s="18"/>
      <c r="E5" s="18"/>
      <c r="F5" s="18"/>
      <c r="G5" s="50"/>
      <c r="H5" s="50"/>
      <c r="I5" s="31" t="e">
        <f t="shared" si="0"/>
        <v>#DIV/0!</v>
      </c>
    </row>
    <row r="6" spans="1:9" ht="16" thickBot="1" x14ac:dyDescent="0.4">
      <c r="A6" s="20"/>
      <c r="B6" s="17"/>
      <c r="C6" s="18"/>
      <c r="D6" s="18"/>
      <c r="E6" s="18"/>
      <c r="F6" s="18"/>
      <c r="G6" s="50"/>
      <c r="H6" s="50"/>
      <c r="I6" s="31" t="e">
        <f t="shared" si="0"/>
        <v>#DIV/0!</v>
      </c>
    </row>
    <row r="7" spans="1:9" ht="16" thickBot="1" x14ac:dyDescent="0.4">
      <c r="A7" s="20"/>
      <c r="B7" s="17"/>
      <c r="C7" s="18"/>
      <c r="D7" s="18"/>
      <c r="E7" s="18"/>
      <c r="F7" s="18"/>
      <c r="G7" s="50"/>
      <c r="H7" s="50"/>
      <c r="I7" s="31" t="e">
        <f t="shared" si="0"/>
        <v>#DIV/0!</v>
      </c>
    </row>
    <row r="8" spans="1:9" ht="16" thickBot="1" x14ac:dyDescent="0.4">
      <c r="A8" s="20"/>
      <c r="B8" s="17"/>
      <c r="C8" s="47"/>
      <c r="D8" s="18"/>
      <c r="E8" s="50"/>
      <c r="F8" s="55"/>
      <c r="G8" s="50"/>
      <c r="H8" s="50"/>
      <c r="I8" s="31" t="e">
        <f t="shared" si="0"/>
        <v>#DIV/0!</v>
      </c>
    </row>
    <row r="9" spans="1:9" ht="16" thickBot="1" x14ac:dyDescent="0.4">
      <c r="A9" s="20"/>
      <c r="B9" s="17"/>
      <c r="C9" s="18"/>
      <c r="D9" s="18"/>
      <c r="E9" s="18"/>
      <c r="F9" s="18"/>
      <c r="G9" s="18"/>
      <c r="H9" s="18"/>
      <c r="I9" s="31" t="e">
        <f t="shared" si="0"/>
        <v>#DIV/0!</v>
      </c>
    </row>
    <row r="10" spans="1:9" ht="16" thickBot="1" x14ac:dyDescent="0.4">
      <c r="A10" s="51"/>
      <c r="B10" s="52"/>
      <c r="C10" s="18"/>
      <c r="D10" s="18"/>
      <c r="E10" s="56"/>
      <c r="F10" s="22"/>
      <c r="G10" s="22"/>
      <c r="H10" s="22"/>
      <c r="I10" s="31" t="e">
        <f t="shared" si="0"/>
        <v>#DIV/0!</v>
      </c>
    </row>
    <row r="11" spans="1:9" ht="16" thickBot="1" x14ac:dyDescent="0.4">
      <c r="A11" s="51"/>
      <c r="B11" s="52"/>
      <c r="C11" s="54"/>
      <c r="D11" s="49"/>
      <c r="E11" s="55"/>
      <c r="F11" s="28"/>
      <c r="G11" s="28"/>
      <c r="H11" s="28"/>
      <c r="I11" s="31" t="e">
        <f t="shared" si="0"/>
        <v>#DIV/0!</v>
      </c>
    </row>
    <row r="12" spans="1:9" ht="18.5" thickBot="1" x14ac:dyDescent="0.4">
      <c r="A12" s="53"/>
      <c r="B12" s="17"/>
      <c r="C12" s="18"/>
      <c r="D12" s="18"/>
      <c r="E12" s="18"/>
      <c r="F12" s="18"/>
      <c r="G12" s="29"/>
      <c r="H12" s="29"/>
      <c r="I12" s="31" t="e">
        <f t="shared" si="0"/>
        <v>#DIV/0!</v>
      </c>
    </row>
    <row r="13" spans="1:9" ht="18.5" thickBot="1" x14ac:dyDescent="0.45">
      <c r="A13" s="20"/>
      <c r="B13" s="17"/>
      <c r="C13" s="18"/>
      <c r="D13" s="18"/>
      <c r="E13" s="18"/>
      <c r="F13" s="18"/>
      <c r="G13" s="30"/>
      <c r="H13" s="30"/>
      <c r="I13" s="31" t="e">
        <f t="shared" si="0"/>
        <v>#DIV/0!</v>
      </c>
    </row>
    <row r="14" spans="1:9" ht="18.5" thickBot="1" x14ac:dyDescent="0.45">
      <c r="A14" s="20"/>
      <c r="B14" s="17"/>
      <c r="C14" s="18"/>
      <c r="D14" s="18"/>
      <c r="E14" s="18"/>
      <c r="F14" s="18"/>
      <c r="G14" s="30"/>
      <c r="H14" s="30"/>
      <c r="I14" s="31" t="e">
        <f t="shared" si="0"/>
        <v>#DIV/0!</v>
      </c>
    </row>
    <row r="15" spans="1:9" ht="16" thickBot="1" x14ac:dyDescent="0.4">
      <c r="A15" s="20"/>
      <c r="B15" s="17"/>
      <c r="C15" s="18"/>
      <c r="D15" s="18"/>
      <c r="E15" s="18"/>
      <c r="F15" s="18"/>
      <c r="G15" s="18"/>
      <c r="H15" s="18"/>
      <c r="I15" s="48" t="e">
        <f>SUM(I2:I14)</f>
        <v>#DIV/0!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C26" sqref="C26"/>
    </sheetView>
  </sheetViews>
  <sheetFormatPr baseColWidth="10" defaultRowHeight="14.5" x14ac:dyDescent="0.35"/>
  <cols>
    <col min="1" max="2" width="27" customWidth="1"/>
    <col min="3" max="3" width="43.81640625" customWidth="1"/>
    <col min="4" max="4" width="48.7265625" bestFit="1" customWidth="1"/>
    <col min="5" max="6" width="27" customWidth="1"/>
  </cols>
  <sheetData>
    <row r="1" spans="1:6" ht="18.5" thickBot="1" x14ac:dyDescent="0.45">
      <c r="A1" s="19" t="s">
        <v>0</v>
      </c>
      <c r="B1" s="14" t="s">
        <v>1</v>
      </c>
      <c r="C1" s="15" t="s">
        <v>2</v>
      </c>
      <c r="D1" s="15" t="s">
        <v>159</v>
      </c>
      <c r="E1" s="15" t="s">
        <v>3</v>
      </c>
      <c r="F1" s="16" t="s">
        <v>86</v>
      </c>
    </row>
    <row r="2" spans="1:6" ht="31.5" thickBot="1" x14ac:dyDescent="0.4">
      <c r="A2" s="20">
        <v>45128</v>
      </c>
      <c r="B2" s="17" t="s">
        <v>156</v>
      </c>
      <c r="C2" s="18" t="s">
        <v>195</v>
      </c>
      <c r="D2" s="18" t="s">
        <v>196</v>
      </c>
      <c r="E2" s="18" t="s">
        <v>197</v>
      </c>
      <c r="F2" s="64">
        <v>13.333333333333334</v>
      </c>
    </row>
    <row r="3" spans="1:6" ht="34.5" customHeight="1" thickBot="1" x14ac:dyDescent="0.4">
      <c r="A3" s="20"/>
      <c r="B3" s="17" t="s">
        <v>205</v>
      </c>
      <c r="C3" s="18" t="s">
        <v>203</v>
      </c>
      <c r="D3" s="18" t="s">
        <v>204</v>
      </c>
      <c r="E3" s="18"/>
      <c r="F3" s="67"/>
    </row>
    <row r="4" spans="1:6" ht="31.5" thickBot="1" x14ac:dyDescent="0.4">
      <c r="A4" s="1"/>
      <c r="B4" s="17" t="s">
        <v>206</v>
      </c>
      <c r="C4" s="18" t="s">
        <v>198</v>
      </c>
      <c r="D4" s="3" t="s">
        <v>199</v>
      </c>
      <c r="E4" s="3"/>
      <c r="F4" s="43"/>
    </row>
    <row r="5" spans="1:6" ht="31.5" thickBot="1" x14ac:dyDescent="0.4">
      <c r="A5" s="20">
        <v>45293</v>
      </c>
      <c r="B5" s="17"/>
      <c r="C5" s="18" t="s">
        <v>200</v>
      </c>
      <c r="D5" s="18" t="s">
        <v>201</v>
      </c>
      <c r="E5" s="18" t="s">
        <v>202</v>
      </c>
      <c r="F5" s="64">
        <v>0.8</v>
      </c>
    </row>
    <row r="6" spans="1:6" ht="35.25" customHeight="1" thickBot="1" x14ac:dyDescent="0.4">
      <c r="A6" s="20"/>
      <c r="B6" s="17"/>
      <c r="C6" s="18"/>
      <c r="D6" s="18"/>
      <c r="E6" s="18"/>
      <c r="F6" s="64"/>
    </row>
    <row r="7" spans="1:6" ht="16" thickBot="1" x14ac:dyDescent="0.4">
      <c r="A7" s="63"/>
      <c r="B7" s="17"/>
      <c r="C7" s="18"/>
      <c r="D7" s="18"/>
      <c r="E7" s="18"/>
      <c r="F7" s="64"/>
    </row>
    <row r="8" spans="1:6" ht="16" thickBot="1" x14ac:dyDescent="0.4">
      <c r="A8" s="20"/>
      <c r="B8" s="17"/>
      <c r="C8" s="18"/>
      <c r="D8" s="18"/>
      <c r="E8" s="18"/>
      <c r="F8" s="64"/>
    </row>
    <row r="9" spans="1:6" ht="16" thickBot="1" x14ac:dyDescent="0.4">
      <c r="A9" s="20"/>
      <c r="B9" s="17"/>
      <c r="C9" s="18"/>
      <c r="D9" s="18"/>
      <c r="E9" s="18"/>
      <c r="F9" s="64"/>
    </row>
    <row r="10" spans="1:6" ht="33" customHeight="1" x14ac:dyDescent="0.35"/>
    <row r="19" spans="4:4" x14ac:dyDescent="0.35">
      <c r="D19" s="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C14" sqref="C14"/>
    </sheetView>
  </sheetViews>
  <sheetFormatPr baseColWidth="10" defaultRowHeight="14.5" x14ac:dyDescent="0.35"/>
  <cols>
    <col min="1" max="2" width="24.1796875" customWidth="1"/>
    <col min="3" max="3" width="42.7265625" customWidth="1"/>
    <col min="4" max="4" width="45.1796875" customWidth="1"/>
    <col min="5" max="5" width="24.1796875" customWidth="1"/>
    <col min="6" max="6" width="33.81640625" customWidth="1"/>
    <col min="7" max="7" width="22.54296875" customWidth="1"/>
    <col min="8" max="8" width="25.1796875" customWidth="1"/>
    <col min="9" max="9" width="24.1796875" customWidth="1"/>
  </cols>
  <sheetData>
    <row r="1" spans="1:9" ht="18.5" thickBot="1" x14ac:dyDescent="0.45">
      <c r="A1" s="19" t="s">
        <v>0</v>
      </c>
      <c r="B1" s="14" t="s">
        <v>1</v>
      </c>
      <c r="C1" s="15" t="s">
        <v>2</v>
      </c>
      <c r="D1" s="15" t="s">
        <v>159</v>
      </c>
      <c r="E1" s="15" t="s">
        <v>208</v>
      </c>
      <c r="F1" s="15" t="s">
        <v>209</v>
      </c>
      <c r="G1" s="15" t="s">
        <v>211</v>
      </c>
      <c r="H1" s="15" t="s">
        <v>210</v>
      </c>
      <c r="I1" s="16" t="s">
        <v>86</v>
      </c>
    </row>
    <row r="2" spans="1:9" ht="31.5" thickBot="1" x14ac:dyDescent="0.4">
      <c r="A2" s="65">
        <v>45293</v>
      </c>
      <c r="B2" s="66" t="s">
        <v>153</v>
      </c>
      <c r="C2" s="47" t="s">
        <v>200</v>
      </c>
      <c r="D2" s="47" t="s">
        <v>207</v>
      </c>
      <c r="E2" s="47" t="s">
        <v>212</v>
      </c>
      <c r="F2" s="47" t="s">
        <v>213</v>
      </c>
      <c r="G2" s="47">
        <v>20</v>
      </c>
      <c r="H2" s="47">
        <v>4</v>
      </c>
      <c r="I2" s="68">
        <f>H2*G2/60</f>
        <v>1.3333333333333333</v>
      </c>
    </row>
    <row r="3" spans="1:9" ht="31.5" thickBot="1" x14ac:dyDescent="0.4">
      <c r="B3" s="70" t="s">
        <v>87</v>
      </c>
      <c r="C3" s="47" t="s">
        <v>216</v>
      </c>
      <c r="D3" s="47" t="s">
        <v>217</v>
      </c>
      <c r="E3" s="18"/>
      <c r="F3" s="18"/>
      <c r="G3" s="18"/>
      <c r="H3" s="18"/>
      <c r="I3" s="67"/>
    </row>
    <row r="4" spans="1:9" ht="31.5" thickBot="1" x14ac:dyDescent="0.4">
      <c r="A4" s="20">
        <v>45350</v>
      </c>
      <c r="B4" s="70" t="s">
        <v>40</v>
      </c>
      <c r="C4" s="18" t="s">
        <v>214</v>
      </c>
      <c r="D4" s="18" t="s">
        <v>215</v>
      </c>
      <c r="E4" s="18"/>
      <c r="F4" s="18"/>
      <c r="G4" s="18"/>
      <c r="H4" s="18"/>
      <c r="I4" s="67"/>
    </row>
    <row r="5" spans="1:9" ht="16" thickBot="1" x14ac:dyDescent="0.4">
      <c r="A5" s="20">
        <v>45597</v>
      </c>
      <c r="B5" s="17" t="s">
        <v>87</v>
      </c>
      <c r="C5" s="18" t="s">
        <v>218</v>
      </c>
      <c r="D5" s="18" t="s">
        <v>219</v>
      </c>
      <c r="E5" s="18" t="s">
        <v>220</v>
      </c>
      <c r="F5" s="18" t="s">
        <v>221</v>
      </c>
      <c r="G5" s="18"/>
      <c r="H5" s="18"/>
      <c r="I5" s="67"/>
    </row>
    <row r="6" spans="1:9" ht="16" thickBot="1" x14ac:dyDescent="0.4">
      <c r="A6" s="20"/>
      <c r="B6" s="17"/>
      <c r="C6" s="18"/>
      <c r="D6" s="18"/>
      <c r="E6" s="18"/>
      <c r="F6" s="18"/>
      <c r="G6" s="18"/>
      <c r="H6" s="18"/>
      <c r="I6" s="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E8" sqref="E8"/>
    </sheetView>
  </sheetViews>
  <sheetFormatPr baseColWidth="10" defaultRowHeight="14.5" x14ac:dyDescent="0.35"/>
  <cols>
    <col min="1" max="2" width="24.1796875" customWidth="1"/>
    <col min="3" max="3" width="42.7265625" customWidth="1"/>
    <col min="4" max="4" width="45.1796875" customWidth="1"/>
    <col min="5" max="5" width="24.1796875" customWidth="1"/>
    <col min="6" max="6" width="33.81640625" customWidth="1"/>
    <col min="7" max="7" width="22.54296875" customWidth="1"/>
    <col min="8" max="8" width="25.1796875" customWidth="1"/>
    <col min="9" max="9" width="24.1796875" customWidth="1"/>
  </cols>
  <sheetData>
    <row r="1" spans="1:9" ht="18.5" thickBot="1" x14ac:dyDescent="0.45">
      <c r="A1" s="19" t="s">
        <v>0</v>
      </c>
      <c r="B1" s="14" t="s">
        <v>1</v>
      </c>
      <c r="C1" s="15" t="s">
        <v>2</v>
      </c>
      <c r="D1" s="15" t="s">
        <v>159</v>
      </c>
      <c r="E1" s="15" t="s">
        <v>208</v>
      </c>
      <c r="F1" s="15" t="s">
        <v>209</v>
      </c>
      <c r="G1" s="15" t="s">
        <v>211</v>
      </c>
      <c r="H1" s="15" t="s">
        <v>210</v>
      </c>
      <c r="I1" s="16" t="s">
        <v>86</v>
      </c>
    </row>
    <row r="2" spans="1:9" ht="47" thickBot="1" x14ac:dyDescent="0.4">
      <c r="A2" s="71">
        <v>45673</v>
      </c>
      <c r="B2" s="72" t="s">
        <v>223</v>
      </c>
      <c r="C2" s="47" t="s">
        <v>224</v>
      </c>
      <c r="D2" s="47" t="s">
        <v>222</v>
      </c>
      <c r="E2" s="47"/>
      <c r="F2" s="47"/>
      <c r="G2" s="47"/>
      <c r="H2" s="47"/>
      <c r="I2" s="74"/>
    </row>
    <row r="3" spans="1:9" ht="31.5" thickBot="1" x14ac:dyDescent="0.4">
      <c r="A3" s="75">
        <v>45715</v>
      </c>
      <c r="B3" s="72" t="s">
        <v>87</v>
      </c>
      <c r="C3" s="47" t="s">
        <v>225</v>
      </c>
      <c r="D3" s="47" t="s">
        <v>226</v>
      </c>
      <c r="E3" s="18"/>
      <c r="F3" s="18"/>
      <c r="G3" s="18"/>
      <c r="H3" s="18"/>
      <c r="I3" s="73"/>
    </row>
    <row r="4" spans="1:9" ht="31.5" thickBot="1" x14ac:dyDescent="0.4">
      <c r="A4" s="20">
        <v>45859</v>
      </c>
      <c r="B4" s="72" t="s">
        <v>227</v>
      </c>
      <c r="C4" s="18" t="s">
        <v>228</v>
      </c>
      <c r="D4" s="18" t="s">
        <v>229</v>
      </c>
      <c r="E4" s="18" t="s">
        <v>230</v>
      </c>
      <c r="F4" s="18" t="s">
        <v>231</v>
      </c>
      <c r="G4" s="18"/>
      <c r="H4" s="18"/>
      <c r="I4" s="73">
        <v>0</v>
      </c>
    </row>
    <row r="5" spans="1:9" ht="31.5" thickBot="1" x14ac:dyDescent="0.4">
      <c r="A5" s="20">
        <v>46014</v>
      </c>
      <c r="B5" s="17" t="s">
        <v>232</v>
      </c>
      <c r="C5" s="47" t="s">
        <v>233</v>
      </c>
      <c r="D5" s="18" t="s">
        <v>234</v>
      </c>
      <c r="E5" s="18"/>
      <c r="F5" s="18"/>
      <c r="G5" s="18"/>
      <c r="H5" s="18"/>
      <c r="I5" s="73"/>
    </row>
    <row r="6" spans="1:9" ht="16" thickBot="1" x14ac:dyDescent="0.4">
      <c r="A6" s="20"/>
      <c r="B6" s="17"/>
      <c r="C6" s="18"/>
      <c r="D6" s="18"/>
      <c r="E6" s="18"/>
      <c r="F6" s="18"/>
      <c r="G6" s="18"/>
      <c r="H6" s="18"/>
      <c r="I6" s="7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CD06-2256-4079-A80B-7F9EC0F3A0FB}">
  <dimension ref="A1:I6"/>
  <sheetViews>
    <sheetView tabSelected="1" topLeftCell="D1" workbookViewId="0">
      <selection activeCell="H13" sqref="H13"/>
    </sheetView>
  </sheetViews>
  <sheetFormatPr baseColWidth="10" defaultRowHeight="14.5" x14ac:dyDescent="0.35"/>
  <cols>
    <col min="1" max="2" width="24.1796875" customWidth="1"/>
    <col min="3" max="3" width="42.7265625" customWidth="1"/>
    <col min="4" max="4" width="45.1796875" customWidth="1"/>
    <col min="5" max="5" width="24.1796875" customWidth="1"/>
    <col min="6" max="6" width="33.81640625" customWidth="1"/>
    <col min="7" max="7" width="22.54296875" customWidth="1"/>
    <col min="8" max="8" width="25.1796875" customWidth="1"/>
    <col min="9" max="9" width="26.453125" customWidth="1"/>
  </cols>
  <sheetData>
    <row r="1" spans="1:9" ht="18.5" thickBot="1" x14ac:dyDescent="0.45">
      <c r="A1" s="19" t="s">
        <v>0</v>
      </c>
      <c r="B1" s="14" t="s">
        <v>1</v>
      </c>
      <c r="C1" s="15" t="s">
        <v>2</v>
      </c>
      <c r="D1" s="15" t="s">
        <v>159</v>
      </c>
      <c r="E1" s="15" t="s">
        <v>208</v>
      </c>
      <c r="F1" s="15" t="s">
        <v>209</v>
      </c>
      <c r="G1" s="15" t="s">
        <v>245</v>
      </c>
      <c r="H1" s="15" t="s">
        <v>210</v>
      </c>
      <c r="I1" s="16" t="s">
        <v>86</v>
      </c>
    </row>
    <row r="2" spans="1:9" ht="16" thickBot="1" x14ac:dyDescent="0.4">
      <c r="A2" s="75">
        <v>46042</v>
      </c>
      <c r="B2" s="76" t="s">
        <v>87</v>
      </c>
      <c r="C2" s="47" t="s">
        <v>235</v>
      </c>
      <c r="D2" s="47" t="s">
        <v>236</v>
      </c>
      <c r="E2" s="47"/>
      <c r="F2" s="47"/>
      <c r="G2" s="47"/>
      <c r="H2" s="47"/>
      <c r="I2" s="78"/>
    </row>
    <row r="3" spans="1:9" ht="16" thickBot="1" x14ac:dyDescent="0.4">
      <c r="A3" s="75">
        <v>46056</v>
      </c>
      <c r="B3" s="76" t="s">
        <v>237</v>
      </c>
      <c r="C3" s="47" t="s">
        <v>238</v>
      </c>
      <c r="D3" s="47" t="s">
        <v>240</v>
      </c>
      <c r="E3" s="18"/>
      <c r="F3" s="18"/>
      <c r="G3" s="18"/>
      <c r="H3" s="18"/>
      <c r="I3" s="77"/>
    </row>
    <row r="4" spans="1:9" ht="16" thickBot="1" x14ac:dyDescent="0.4">
      <c r="A4" s="79">
        <v>46079</v>
      </c>
      <c r="B4" s="76" t="s">
        <v>40</v>
      </c>
      <c r="C4" s="47" t="s">
        <v>239</v>
      </c>
      <c r="D4" s="18" t="s">
        <v>241</v>
      </c>
      <c r="E4" s="18" t="s">
        <v>242</v>
      </c>
      <c r="F4" s="18" t="s">
        <v>243</v>
      </c>
      <c r="G4" s="18">
        <v>30</v>
      </c>
      <c r="H4" s="18" t="s">
        <v>244</v>
      </c>
      <c r="I4" s="77"/>
    </row>
    <row r="5" spans="1:9" ht="16" thickBot="1" x14ac:dyDescent="0.4">
      <c r="A5" s="20"/>
      <c r="B5" s="17"/>
      <c r="C5" s="18"/>
      <c r="D5" s="18"/>
      <c r="E5" s="18"/>
      <c r="F5" s="18"/>
      <c r="G5" s="18"/>
      <c r="H5" s="18"/>
      <c r="I5" s="77"/>
    </row>
    <row r="6" spans="1:9" ht="16" thickBot="1" x14ac:dyDescent="0.4">
      <c r="A6" s="20"/>
      <c r="B6" s="17"/>
      <c r="C6" s="18"/>
      <c r="D6" s="18"/>
      <c r="E6" s="18"/>
      <c r="F6" s="18"/>
      <c r="G6" s="18"/>
      <c r="H6" s="18"/>
      <c r="I6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2017</vt:lpstr>
      <vt:lpstr>TRs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AGUELLID Youssef</dc:creator>
  <cp:lastModifiedBy>AGUELLID Youssef</cp:lastModifiedBy>
  <dcterms:created xsi:type="dcterms:W3CDTF">2018-10-30T13:54:27Z</dcterms:created>
  <dcterms:modified xsi:type="dcterms:W3CDTF">2026-02-26T09:59:17Z</dcterms:modified>
</cp:coreProperties>
</file>